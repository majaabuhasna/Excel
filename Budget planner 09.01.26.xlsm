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-A301-08\Desktop\Excel\"/>
    </mc:Choice>
  </mc:AlternateContent>
  <xr:revisionPtr revIDLastSave="0" documentId="13_ncr:1_{96D19255-F0E4-409D-B6AE-AFCD85B0D63A}" xr6:coauthVersionLast="47" xr6:coauthVersionMax="47" xr10:uidLastSave="{00000000-0000-0000-0000-000000000000}"/>
  <bookViews>
    <workbookView xWindow="5505" yWindow="1935" windowWidth="21600" windowHeight="11385" xr2:uid="{1350B4C1-6FA8-4F8D-9418-F675D7B2477F}"/>
  </bookViews>
  <sheets>
    <sheet name="1" sheetId="1" r:id="rId1"/>
    <sheet name="2" sheetId="3" r:id="rId2"/>
    <sheet name="3" sheetId="4" r:id="rId3"/>
    <sheet name="4" sheetId="5" r:id="rId4"/>
    <sheet name="5" sheetId="6" r:id="rId5"/>
    <sheet name="6" sheetId="7" r:id="rId6"/>
    <sheet name="7" sheetId="8" r:id="rId7"/>
    <sheet name="8" sheetId="9" r:id="rId8"/>
    <sheet name="9" sheetId="10" r:id="rId9"/>
    <sheet name="10" sheetId="11" r:id="rId10"/>
    <sheet name="11" sheetId="12" r:id="rId11"/>
    <sheet name="12" sheetId="13" r:id="rId1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7" i="13" l="1"/>
  <c r="V27" i="13"/>
  <c r="S27" i="13"/>
  <c r="R27" i="13"/>
  <c r="N27" i="13"/>
  <c r="M27" i="13"/>
  <c r="G27" i="13"/>
  <c r="B27" i="13"/>
  <c r="X26" i="13"/>
  <c r="X25" i="13"/>
  <c r="X24" i="13"/>
  <c r="X23" i="13"/>
  <c r="X22" i="13"/>
  <c r="X21" i="13"/>
  <c r="X20" i="13"/>
  <c r="X19" i="13"/>
  <c r="X18" i="13"/>
  <c r="X17" i="13"/>
  <c r="X16" i="13"/>
  <c r="X15" i="13"/>
  <c r="X14" i="13"/>
  <c r="X13" i="13"/>
  <c r="X27" i="13" s="1"/>
  <c r="A2" i="13" a="1"/>
  <c r="A2" i="13" s="1"/>
  <c r="L17" i="13" s="1"/>
  <c r="W27" i="12"/>
  <c r="V27" i="12"/>
  <c r="S27" i="12"/>
  <c r="R27" i="12"/>
  <c r="N27" i="12"/>
  <c r="M27" i="12"/>
  <c r="G27" i="12"/>
  <c r="B27" i="12"/>
  <c r="X26" i="12"/>
  <c r="X25" i="12"/>
  <c r="X24" i="12"/>
  <c r="X23" i="12"/>
  <c r="X22" i="12"/>
  <c r="X21" i="12"/>
  <c r="X20" i="12"/>
  <c r="X19" i="12"/>
  <c r="X18" i="12"/>
  <c r="X17" i="12"/>
  <c r="X16" i="12"/>
  <c r="X15" i="12"/>
  <c r="X14" i="12"/>
  <c r="X27" i="12" s="1"/>
  <c r="X13" i="12"/>
  <c r="A2" i="12" a="1"/>
  <c r="A2" i="12" s="1"/>
  <c r="W27" i="11"/>
  <c r="V27" i="11"/>
  <c r="S27" i="11"/>
  <c r="R27" i="11"/>
  <c r="N27" i="11"/>
  <c r="M27" i="11"/>
  <c r="G27" i="11"/>
  <c r="B27" i="11"/>
  <c r="X26" i="11"/>
  <c r="X25" i="11"/>
  <c r="X24" i="11"/>
  <c r="X23" i="11"/>
  <c r="X22" i="11"/>
  <c r="X21" i="11"/>
  <c r="X20" i="11"/>
  <c r="X19" i="11"/>
  <c r="X18" i="11"/>
  <c r="X17" i="11"/>
  <c r="X16" i="11"/>
  <c r="X15" i="11"/>
  <c r="X14" i="11"/>
  <c r="X27" i="11" s="1"/>
  <c r="X13" i="11"/>
  <c r="A2" i="11" a="1"/>
  <c r="A2" i="11" s="1"/>
  <c r="W27" i="10"/>
  <c r="V27" i="10"/>
  <c r="S27" i="10"/>
  <c r="R27" i="10"/>
  <c r="N27" i="10"/>
  <c r="M27" i="10"/>
  <c r="G27" i="10"/>
  <c r="B27" i="10"/>
  <c r="X26" i="10"/>
  <c r="X25" i="10"/>
  <c r="X24" i="10"/>
  <c r="X23" i="10"/>
  <c r="X22" i="10"/>
  <c r="X21" i="10"/>
  <c r="X20" i="10"/>
  <c r="X19" i="10"/>
  <c r="X18" i="10"/>
  <c r="X17" i="10"/>
  <c r="X16" i="10"/>
  <c r="X15" i="10"/>
  <c r="X14" i="10"/>
  <c r="X13" i="10"/>
  <c r="X27" i="10" s="1"/>
  <c r="A2" i="10" a="1"/>
  <c r="A2" i="10" s="1"/>
  <c r="L17" i="10" s="1"/>
  <c r="W27" i="9"/>
  <c r="V27" i="9"/>
  <c r="S27" i="9"/>
  <c r="R27" i="9"/>
  <c r="N27" i="9"/>
  <c r="M27" i="9"/>
  <c r="G27" i="9"/>
  <c r="B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27" i="9" s="1"/>
  <c r="A2" i="9" a="1"/>
  <c r="A2" i="9" s="1"/>
  <c r="W27" i="8"/>
  <c r="V27" i="8"/>
  <c r="S27" i="8"/>
  <c r="R27" i="8"/>
  <c r="N27" i="8"/>
  <c r="M27" i="8"/>
  <c r="G27" i="8"/>
  <c r="B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27" i="8" s="1"/>
  <c r="A2" i="8" a="1"/>
  <c r="A2" i="8" s="1"/>
  <c r="W27" i="7"/>
  <c r="V27" i="7"/>
  <c r="S27" i="7"/>
  <c r="R27" i="7"/>
  <c r="N27" i="7"/>
  <c r="M27" i="7"/>
  <c r="G27" i="7"/>
  <c r="B27" i="7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X13" i="7"/>
  <c r="X27" i="7" s="1"/>
  <c r="A2" i="7" a="1"/>
  <c r="A2" i="7" s="1"/>
  <c r="L17" i="7" s="1"/>
  <c r="W27" i="6"/>
  <c r="V27" i="6"/>
  <c r="S27" i="6"/>
  <c r="R27" i="6"/>
  <c r="N27" i="6"/>
  <c r="M27" i="6"/>
  <c r="G27" i="6"/>
  <c r="B27" i="6"/>
  <c r="X26" i="6"/>
  <c r="X25" i="6"/>
  <c r="X24" i="6"/>
  <c r="X23" i="6"/>
  <c r="X22" i="6"/>
  <c r="X21" i="6"/>
  <c r="X20" i="6"/>
  <c r="X19" i="6"/>
  <c r="X18" i="6"/>
  <c r="X17" i="6"/>
  <c r="X16" i="6"/>
  <c r="X15" i="6"/>
  <c r="X14" i="6"/>
  <c r="X13" i="6"/>
  <c r="X27" i="6" s="1"/>
  <c r="A2" i="6" a="1"/>
  <c r="A2" i="6" s="1"/>
  <c r="W27" i="5"/>
  <c r="V27" i="5"/>
  <c r="S27" i="5"/>
  <c r="R27" i="5"/>
  <c r="N27" i="5"/>
  <c r="M27" i="5"/>
  <c r="G27" i="5"/>
  <c r="B27" i="5"/>
  <c r="X26" i="5"/>
  <c r="X25" i="5"/>
  <c r="X24" i="5"/>
  <c r="X23" i="5"/>
  <c r="X22" i="5"/>
  <c r="X21" i="5"/>
  <c r="X20" i="5"/>
  <c r="X19" i="5"/>
  <c r="X18" i="5"/>
  <c r="X17" i="5"/>
  <c r="X16" i="5"/>
  <c r="X15" i="5"/>
  <c r="X14" i="5"/>
  <c r="X13" i="5"/>
  <c r="X27" i="5" s="1"/>
  <c r="A2" i="5" a="1"/>
  <c r="A2" i="5" s="1"/>
  <c r="W27" i="4"/>
  <c r="V27" i="4"/>
  <c r="S27" i="4"/>
  <c r="R27" i="4"/>
  <c r="N27" i="4"/>
  <c r="M27" i="4"/>
  <c r="G27" i="4"/>
  <c r="B27" i="4"/>
  <c r="X26" i="4"/>
  <c r="X25" i="4"/>
  <c r="X24" i="4"/>
  <c r="X23" i="4"/>
  <c r="X22" i="4"/>
  <c r="X21" i="4"/>
  <c r="X20" i="4"/>
  <c r="X19" i="4"/>
  <c r="X18" i="4"/>
  <c r="X17" i="4"/>
  <c r="X16" i="4"/>
  <c r="X15" i="4"/>
  <c r="X14" i="4"/>
  <c r="X13" i="4"/>
  <c r="X27" i="4" s="1"/>
  <c r="A2" i="4" a="1"/>
  <c r="A2" i="4" s="1"/>
  <c r="W27" i="3"/>
  <c r="V27" i="3"/>
  <c r="S27" i="3"/>
  <c r="R27" i="3"/>
  <c r="N27" i="3"/>
  <c r="M27" i="3"/>
  <c r="G27" i="3"/>
  <c r="B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27" i="3" s="1"/>
  <c r="A2" i="3" a="1"/>
  <c r="A2" i="3" s="1"/>
  <c r="C7" i="13" a="1"/>
  <c r="B6" i="13" a="1"/>
  <c r="D7" i="13" a="1"/>
  <c r="B7" i="13" a="1"/>
  <c r="B5" i="13" a="1"/>
  <c r="C7" i="12" a="1"/>
  <c r="B6" i="12" a="1"/>
  <c r="D7" i="12" a="1"/>
  <c r="B7" i="12" a="1"/>
  <c r="B5" i="12" a="1"/>
  <c r="C7" i="11" a="1"/>
  <c r="B6" i="11" a="1"/>
  <c r="D7" i="11" a="1"/>
  <c r="B7" i="11" a="1"/>
  <c r="B5" i="11" a="1"/>
  <c r="C7" i="10" a="1"/>
  <c r="B6" i="10" a="1"/>
  <c r="D7" i="10" a="1"/>
  <c r="B7" i="10" a="1"/>
  <c r="B5" i="10" a="1"/>
  <c r="C7" i="9" a="1"/>
  <c r="B6" i="9" a="1"/>
  <c r="D7" i="9" a="1"/>
  <c r="B7" i="9" a="1"/>
  <c r="B5" i="9" a="1"/>
  <c r="C7" i="8" a="1"/>
  <c r="B6" i="8" a="1"/>
  <c r="D7" i="8" a="1"/>
  <c r="B7" i="8" a="1"/>
  <c r="B5" i="8" a="1"/>
  <c r="C7" i="7" a="1"/>
  <c r="B6" i="7" a="1"/>
  <c r="D7" i="7" a="1"/>
  <c r="B7" i="7" a="1"/>
  <c r="B5" i="7" a="1"/>
  <c r="C7" i="6" a="1"/>
  <c r="B6" i="6" a="1"/>
  <c r="D7" i="6" a="1"/>
  <c r="B7" i="6" a="1"/>
  <c r="B5" i="6" a="1"/>
  <c r="C7" i="5" a="1"/>
  <c r="B6" i="5" a="1"/>
  <c r="D7" i="5" a="1"/>
  <c r="B7" i="5" a="1"/>
  <c r="B5" i="5" a="1"/>
  <c r="C7" i="4" a="1"/>
  <c r="B6" i="4" a="1"/>
  <c r="D7" i="4" a="1"/>
  <c r="B7" i="4" a="1"/>
  <c r="B5" i="4" a="1"/>
  <c r="C7" i="3" a="1"/>
  <c r="B6" i="3" a="1"/>
  <c r="D7" i="3" a="1"/>
  <c r="B7" i="3" a="1"/>
  <c r="B5" i="3" a="1"/>
  <c r="B5" i="13" l="1"/>
  <c r="B7" i="13"/>
  <c r="D7" i="13"/>
  <c r="B6" i="13"/>
  <c r="C7" i="13"/>
  <c r="Q13" i="13"/>
  <c r="L14" i="13"/>
  <c r="Q17" i="13"/>
  <c r="L18" i="13"/>
  <c r="Q14" i="13"/>
  <c r="L15" i="13"/>
  <c r="Q15" i="13"/>
  <c r="L16" i="13"/>
  <c r="L13" i="13"/>
  <c r="Q16" i="13"/>
  <c r="B5" i="12"/>
  <c r="B7" i="12"/>
  <c r="D7" i="12"/>
  <c r="B6" i="12"/>
  <c r="C7" i="12"/>
  <c r="L17" i="12"/>
  <c r="Q16" i="12"/>
  <c r="L13" i="12"/>
  <c r="L16" i="12"/>
  <c r="Q15" i="12"/>
  <c r="L15" i="12"/>
  <c r="Q14" i="12"/>
  <c r="L18" i="12"/>
  <c r="Q17" i="12"/>
  <c r="L14" i="12"/>
  <c r="Q13" i="12"/>
  <c r="B5" i="11"/>
  <c r="B7" i="11"/>
  <c r="D7" i="11"/>
  <c r="B6" i="11"/>
  <c r="C7" i="11"/>
  <c r="L17" i="11"/>
  <c r="Q16" i="11"/>
  <c r="L13" i="11"/>
  <c r="L16" i="11"/>
  <c r="Q15" i="11"/>
  <c r="L15" i="11"/>
  <c r="Q14" i="11"/>
  <c r="L18" i="11"/>
  <c r="Q17" i="11"/>
  <c r="L14" i="11"/>
  <c r="Q13" i="11"/>
  <c r="B5" i="10"/>
  <c r="B7" i="10"/>
  <c r="D7" i="10"/>
  <c r="B6" i="10"/>
  <c r="C7" i="10"/>
  <c r="Q13" i="10"/>
  <c r="L14" i="10"/>
  <c r="Q17" i="10"/>
  <c r="L18" i="10"/>
  <c r="Q14" i="10"/>
  <c r="L15" i="10"/>
  <c r="Q15" i="10"/>
  <c r="L16" i="10"/>
  <c r="L13" i="10"/>
  <c r="Q16" i="10"/>
  <c r="B5" i="9"/>
  <c r="B7" i="9"/>
  <c r="D7" i="9"/>
  <c r="B6" i="9"/>
  <c r="C7" i="9"/>
  <c r="L17" i="9"/>
  <c r="Q16" i="9"/>
  <c r="L13" i="9"/>
  <c r="L16" i="9"/>
  <c r="Q15" i="9"/>
  <c r="L15" i="9"/>
  <c r="Q14" i="9"/>
  <c r="L18" i="9"/>
  <c r="Q17" i="9"/>
  <c r="L14" i="9"/>
  <c r="Q13" i="9"/>
  <c r="B5" i="8"/>
  <c r="B7" i="8"/>
  <c r="D7" i="8"/>
  <c r="B6" i="8"/>
  <c r="C7" i="8"/>
  <c r="L17" i="8"/>
  <c r="Q16" i="8"/>
  <c r="L13" i="8"/>
  <c r="L16" i="8"/>
  <c r="Q15" i="8"/>
  <c r="L15" i="8"/>
  <c r="Q14" i="8"/>
  <c r="L18" i="8"/>
  <c r="Q17" i="8"/>
  <c r="L14" i="8"/>
  <c r="Q13" i="8"/>
  <c r="B5" i="7"/>
  <c r="B7" i="7"/>
  <c r="D7" i="7"/>
  <c r="B6" i="7"/>
  <c r="C7" i="7"/>
  <c r="L13" i="7"/>
  <c r="Q13" i="7"/>
  <c r="L14" i="7"/>
  <c r="Q17" i="7"/>
  <c r="L18" i="7"/>
  <c r="Q14" i="7"/>
  <c r="L15" i="7"/>
  <c r="Q15" i="7"/>
  <c r="L16" i="7"/>
  <c r="Q16" i="7"/>
  <c r="B5" i="6"/>
  <c r="B7" i="6"/>
  <c r="D7" i="6"/>
  <c r="B6" i="6"/>
  <c r="C7" i="6"/>
  <c r="L17" i="6"/>
  <c r="Q16" i="6"/>
  <c r="L13" i="6"/>
  <c r="L16" i="6"/>
  <c r="Q15" i="6"/>
  <c r="L15" i="6"/>
  <c r="Q14" i="6"/>
  <c r="L18" i="6"/>
  <c r="Q17" i="6"/>
  <c r="L14" i="6"/>
  <c r="Q13" i="6"/>
  <c r="B5" i="5"/>
  <c r="B7" i="5"/>
  <c r="D7" i="5"/>
  <c r="B6" i="5"/>
  <c r="C7" i="5"/>
  <c r="L17" i="5"/>
  <c r="Q16" i="5"/>
  <c r="L13" i="5"/>
  <c r="L16" i="5"/>
  <c r="Q15" i="5"/>
  <c r="L18" i="5"/>
  <c r="Q17" i="5"/>
  <c r="L14" i="5"/>
  <c r="Q13" i="5"/>
  <c r="L15" i="5"/>
  <c r="Q14" i="5"/>
  <c r="B5" i="4"/>
  <c r="B7" i="4"/>
  <c r="D7" i="4"/>
  <c r="B6" i="4"/>
  <c r="C7" i="4"/>
  <c r="L13" i="4"/>
  <c r="Q16" i="4"/>
  <c r="L17" i="4"/>
  <c r="Q13" i="4"/>
  <c r="L14" i="4"/>
  <c r="Q17" i="4"/>
  <c r="L18" i="4"/>
  <c r="Q14" i="4"/>
  <c r="L15" i="4"/>
  <c r="Q15" i="4"/>
  <c r="L16" i="4"/>
  <c r="B5" i="3"/>
  <c r="B7" i="3"/>
  <c r="D7" i="3"/>
  <c r="B6" i="3"/>
  <c r="C7" i="3"/>
  <c r="L17" i="3"/>
  <c r="Q16" i="3"/>
  <c r="L13" i="3"/>
  <c r="L16" i="3"/>
  <c r="Q15" i="3"/>
  <c r="L15" i="3"/>
  <c r="Q14" i="3"/>
  <c r="L18" i="3"/>
  <c r="Q17" i="3"/>
  <c r="L14" i="3"/>
  <c r="Q13" i="3"/>
  <c r="C16" i="13" a="1"/>
  <c r="C13" i="13" a="1"/>
  <c r="C17" i="13" a="1"/>
  <c r="H20" i="13" a="1"/>
  <c r="H16" i="13" a="1"/>
  <c r="H13" i="13" a="1"/>
  <c r="H17" i="13" a="1"/>
  <c r="H14" i="13" a="1"/>
  <c r="H18" i="13" a="1"/>
  <c r="H21" i="13" a="1"/>
  <c r="C14" i="13" a="1"/>
  <c r="C18" i="13" a="1"/>
  <c r="H15" i="13" a="1"/>
  <c r="H19" i="13" a="1"/>
  <c r="C15" i="13" a="1"/>
  <c r="C15" i="12" a="1"/>
  <c r="H19" i="12" a="1"/>
  <c r="H15" i="12" a="1"/>
  <c r="C16" i="12" a="1"/>
  <c r="C18" i="12" a="1"/>
  <c r="C14" i="12" a="1"/>
  <c r="H16" i="12" a="1"/>
  <c r="C17" i="12" a="1"/>
  <c r="C13" i="12" a="1"/>
  <c r="H21" i="12" a="1"/>
  <c r="H18" i="12" a="1"/>
  <c r="H14" i="12" a="1"/>
  <c r="H17" i="12" a="1"/>
  <c r="H13" i="12" a="1"/>
  <c r="H20" i="12" a="1"/>
  <c r="C15" i="11" a="1"/>
  <c r="H19" i="11" a="1"/>
  <c r="H15" i="11" a="1"/>
  <c r="C18" i="11" a="1"/>
  <c r="C14" i="11" a="1"/>
  <c r="H21" i="11" a="1"/>
  <c r="H18" i="11" a="1"/>
  <c r="H14" i="11" a="1"/>
  <c r="H17" i="11" a="1"/>
  <c r="H13" i="11" a="1"/>
  <c r="H16" i="11" a="1"/>
  <c r="H20" i="11" a="1"/>
  <c r="C17" i="11" a="1"/>
  <c r="C13" i="11" a="1"/>
  <c r="C16" i="11" a="1"/>
  <c r="C13" i="10" a="1"/>
  <c r="C17" i="10" a="1"/>
  <c r="H20" i="10" a="1"/>
  <c r="H16" i="10" a="1"/>
  <c r="C16" i="10" a="1"/>
  <c r="H14" i="10" a="1"/>
  <c r="H18" i="10" a="1"/>
  <c r="H21" i="10" a="1"/>
  <c r="H13" i="10" a="1"/>
  <c r="H17" i="10" a="1"/>
  <c r="C14" i="10" a="1"/>
  <c r="C18" i="10" a="1"/>
  <c r="H15" i="10" a="1"/>
  <c r="H19" i="10" a="1"/>
  <c r="C15" i="10" a="1"/>
  <c r="C15" i="9" a="1"/>
  <c r="H19" i="9" a="1"/>
  <c r="H15" i="9" a="1"/>
  <c r="C18" i="9" a="1"/>
  <c r="C14" i="9" a="1"/>
  <c r="H21" i="9" a="1"/>
  <c r="H18" i="9" a="1"/>
  <c r="H14" i="9" a="1"/>
  <c r="H17" i="9" a="1"/>
  <c r="H13" i="9" a="1"/>
  <c r="H16" i="9" a="1"/>
  <c r="H20" i="9" a="1"/>
  <c r="C17" i="9" a="1"/>
  <c r="C13" i="9" a="1"/>
  <c r="C16" i="9" a="1"/>
  <c r="C15" i="8" a="1"/>
  <c r="H19" i="8" a="1"/>
  <c r="H15" i="8" a="1"/>
  <c r="C18" i="8" a="1"/>
  <c r="C14" i="8" a="1"/>
  <c r="H21" i="8" a="1"/>
  <c r="H18" i="8" a="1"/>
  <c r="H14" i="8" a="1"/>
  <c r="H17" i="8" a="1"/>
  <c r="H13" i="8" a="1"/>
  <c r="H16" i="8" a="1"/>
  <c r="H20" i="8" a="1"/>
  <c r="C17" i="8" a="1"/>
  <c r="C13" i="8" a="1"/>
  <c r="C16" i="8" a="1"/>
  <c r="C13" i="7" a="1"/>
  <c r="H13" i="7" a="1"/>
  <c r="H17" i="7" a="1"/>
  <c r="C14" i="7" a="1"/>
  <c r="C18" i="7" a="1"/>
  <c r="H16" i="7" a="1"/>
  <c r="C17" i="7" a="1"/>
  <c r="H15" i="7" a="1"/>
  <c r="H19" i="7" a="1"/>
  <c r="H14" i="7" a="1"/>
  <c r="H20" i="7" a="1"/>
  <c r="C15" i="7" a="1"/>
  <c r="C16" i="7" a="1"/>
  <c r="H18" i="7" a="1"/>
  <c r="H21" i="7" a="1"/>
  <c r="C15" i="6" a="1"/>
  <c r="H19" i="6" a="1"/>
  <c r="H15" i="6" a="1"/>
  <c r="C18" i="6" a="1"/>
  <c r="C14" i="6" a="1"/>
  <c r="H21" i="6" a="1"/>
  <c r="H18" i="6" a="1"/>
  <c r="H14" i="6" a="1"/>
  <c r="H17" i="6" a="1"/>
  <c r="H13" i="6" a="1"/>
  <c r="H16" i="6" a="1"/>
  <c r="H20" i="6" a="1"/>
  <c r="C17" i="6" a="1"/>
  <c r="C13" i="6" a="1"/>
  <c r="C16" i="6" a="1"/>
  <c r="C15" i="5" a="1"/>
  <c r="H19" i="5" a="1"/>
  <c r="H15" i="5" a="1"/>
  <c r="C16" i="5" a="1"/>
  <c r="C17" i="5" a="1"/>
  <c r="C13" i="5" a="1"/>
  <c r="C18" i="5" a="1"/>
  <c r="C14" i="5" a="1"/>
  <c r="H17" i="5" a="1"/>
  <c r="H21" i="5" a="1"/>
  <c r="H13" i="5" a="1"/>
  <c r="H16" i="5" a="1"/>
  <c r="H20" i="5" a="1"/>
  <c r="H18" i="5" a="1"/>
  <c r="H14" i="5" a="1"/>
  <c r="C13" i="4" a="1"/>
  <c r="H14" i="4" a="1"/>
  <c r="H21" i="4" a="1"/>
  <c r="C16" i="4" a="1"/>
  <c r="C14" i="4" a="1"/>
  <c r="C18" i="4" a="1"/>
  <c r="C15" i="4" a="1"/>
  <c r="H13" i="4" a="1"/>
  <c r="H17" i="4" a="1"/>
  <c r="H15" i="4" a="1"/>
  <c r="H19" i="4" a="1"/>
  <c r="H16" i="4" a="1"/>
  <c r="C17" i="4" a="1"/>
  <c r="H20" i="4" a="1"/>
  <c r="H18" i="4" a="1"/>
  <c r="C15" i="3" a="1"/>
  <c r="H19" i="3" a="1"/>
  <c r="H15" i="3" a="1"/>
  <c r="C18" i="3" a="1"/>
  <c r="C14" i="3" a="1"/>
  <c r="H21" i="3" a="1"/>
  <c r="H18" i="3" a="1"/>
  <c r="H14" i="3" a="1"/>
  <c r="H17" i="3" a="1"/>
  <c r="H13" i="3" a="1"/>
  <c r="H16" i="3" a="1"/>
  <c r="H20" i="3" a="1"/>
  <c r="C17" i="3" a="1"/>
  <c r="C13" i="3" a="1"/>
  <c r="C16" i="3" a="1"/>
  <c r="B9" i="13" l="1"/>
  <c r="C15" i="13"/>
  <c r="D15" i="13" s="1"/>
  <c r="H19" i="13"/>
  <c r="I19" i="13" s="1"/>
  <c r="H15" i="13"/>
  <c r="I15" i="13" s="1"/>
  <c r="C18" i="13"/>
  <c r="D18" i="13" s="1"/>
  <c r="C14" i="13"/>
  <c r="D14" i="13" s="1"/>
  <c r="H21" i="13"/>
  <c r="I21" i="13" s="1"/>
  <c r="H18" i="13"/>
  <c r="I18" i="13" s="1"/>
  <c r="H14" i="13"/>
  <c r="I14" i="13" s="1"/>
  <c r="H17" i="13"/>
  <c r="I17" i="13" s="1"/>
  <c r="H13" i="13"/>
  <c r="H16" i="13"/>
  <c r="I16" i="13" s="1"/>
  <c r="H20" i="13"/>
  <c r="I20" i="13" s="1"/>
  <c r="C17" i="13"/>
  <c r="D17" i="13" s="1"/>
  <c r="C13" i="13"/>
  <c r="C16" i="13"/>
  <c r="D16" i="13" s="1"/>
  <c r="H20" i="12"/>
  <c r="I20" i="12" s="1"/>
  <c r="H13" i="12"/>
  <c r="H17" i="12"/>
  <c r="I17" i="12" s="1"/>
  <c r="H14" i="12"/>
  <c r="I14" i="12" s="1"/>
  <c r="H18" i="12"/>
  <c r="I18" i="12" s="1"/>
  <c r="H21" i="12"/>
  <c r="I21" i="12" s="1"/>
  <c r="C13" i="12"/>
  <c r="C17" i="12"/>
  <c r="D17" i="12" s="1"/>
  <c r="H16" i="12"/>
  <c r="I16" i="12" s="1"/>
  <c r="C14" i="12"/>
  <c r="D14" i="12" s="1"/>
  <c r="C18" i="12"/>
  <c r="D18" i="12" s="1"/>
  <c r="C16" i="12"/>
  <c r="D16" i="12" s="1"/>
  <c r="H15" i="12"/>
  <c r="I15" i="12" s="1"/>
  <c r="H19" i="12"/>
  <c r="I19" i="12" s="1"/>
  <c r="C15" i="12"/>
  <c r="D15" i="12" s="1"/>
  <c r="B9" i="12"/>
  <c r="C16" i="11"/>
  <c r="D16" i="11" s="1"/>
  <c r="C13" i="11"/>
  <c r="C17" i="11"/>
  <c r="D17" i="11" s="1"/>
  <c r="H20" i="11"/>
  <c r="I20" i="11" s="1"/>
  <c r="H16" i="11"/>
  <c r="I16" i="11" s="1"/>
  <c r="H13" i="11"/>
  <c r="H17" i="11"/>
  <c r="I17" i="11" s="1"/>
  <c r="H14" i="11"/>
  <c r="I14" i="11" s="1"/>
  <c r="H18" i="11"/>
  <c r="I18" i="11" s="1"/>
  <c r="H21" i="11"/>
  <c r="I21" i="11" s="1"/>
  <c r="C14" i="11"/>
  <c r="D14" i="11" s="1"/>
  <c r="C18" i="11"/>
  <c r="D18" i="11" s="1"/>
  <c r="H15" i="11"/>
  <c r="I15" i="11" s="1"/>
  <c r="H19" i="11"/>
  <c r="I19" i="11" s="1"/>
  <c r="C15" i="11"/>
  <c r="D15" i="11" s="1"/>
  <c r="B9" i="11"/>
  <c r="C13" i="10"/>
  <c r="D13" i="10" s="1"/>
  <c r="C15" i="10"/>
  <c r="D15" i="10" s="1"/>
  <c r="H19" i="10"/>
  <c r="I19" i="10" s="1"/>
  <c r="H15" i="10"/>
  <c r="I15" i="10" s="1"/>
  <c r="C18" i="10"/>
  <c r="D18" i="10" s="1"/>
  <c r="C14" i="10"/>
  <c r="D14" i="10" s="1"/>
  <c r="H17" i="10"/>
  <c r="I17" i="10" s="1"/>
  <c r="H13" i="10"/>
  <c r="H21" i="10"/>
  <c r="I21" i="10" s="1"/>
  <c r="H18" i="10"/>
  <c r="I18" i="10" s="1"/>
  <c r="H14" i="10"/>
  <c r="I14" i="10" s="1"/>
  <c r="C16" i="10"/>
  <c r="D16" i="10" s="1"/>
  <c r="H16" i="10"/>
  <c r="I16" i="10" s="1"/>
  <c r="H20" i="10"/>
  <c r="I20" i="10" s="1"/>
  <c r="C17" i="10"/>
  <c r="D17" i="10" s="1"/>
  <c r="B9" i="10"/>
  <c r="C16" i="9"/>
  <c r="D16" i="9" s="1"/>
  <c r="C13" i="9"/>
  <c r="C17" i="9"/>
  <c r="D17" i="9" s="1"/>
  <c r="H20" i="9"/>
  <c r="I20" i="9" s="1"/>
  <c r="H16" i="9"/>
  <c r="I16" i="9" s="1"/>
  <c r="H13" i="9"/>
  <c r="H17" i="9"/>
  <c r="I17" i="9" s="1"/>
  <c r="H14" i="9"/>
  <c r="I14" i="9" s="1"/>
  <c r="H18" i="9"/>
  <c r="I18" i="9" s="1"/>
  <c r="H21" i="9"/>
  <c r="I21" i="9" s="1"/>
  <c r="C14" i="9"/>
  <c r="D14" i="9" s="1"/>
  <c r="C18" i="9"/>
  <c r="D18" i="9" s="1"/>
  <c r="H15" i="9"/>
  <c r="I15" i="9" s="1"/>
  <c r="H19" i="9"/>
  <c r="I19" i="9" s="1"/>
  <c r="C15" i="9"/>
  <c r="D15" i="9" s="1"/>
  <c r="B9" i="9"/>
  <c r="C16" i="8"/>
  <c r="D16" i="8" s="1"/>
  <c r="C13" i="8"/>
  <c r="C17" i="8"/>
  <c r="D17" i="8" s="1"/>
  <c r="H20" i="8"/>
  <c r="I20" i="8" s="1"/>
  <c r="H16" i="8"/>
  <c r="I16" i="8" s="1"/>
  <c r="H13" i="8"/>
  <c r="H17" i="8"/>
  <c r="I17" i="8" s="1"/>
  <c r="H14" i="8"/>
  <c r="I14" i="8" s="1"/>
  <c r="H18" i="8"/>
  <c r="I18" i="8" s="1"/>
  <c r="H21" i="8"/>
  <c r="I21" i="8" s="1"/>
  <c r="C14" i="8"/>
  <c r="D14" i="8" s="1"/>
  <c r="C18" i="8"/>
  <c r="D18" i="8" s="1"/>
  <c r="H15" i="8"/>
  <c r="I15" i="8" s="1"/>
  <c r="H19" i="8"/>
  <c r="I19" i="8" s="1"/>
  <c r="C15" i="8"/>
  <c r="D15" i="8" s="1"/>
  <c r="B9" i="8"/>
  <c r="C13" i="7"/>
  <c r="D13" i="7" s="1"/>
  <c r="H21" i="7"/>
  <c r="I21" i="7" s="1"/>
  <c r="H18" i="7"/>
  <c r="I18" i="7" s="1"/>
  <c r="C16" i="7"/>
  <c r="D16" i="7" s="1"/>
  <c r="C15" i="7"/>
  <c r="D15" i="7" s="1"/>
  <c r="H20" i="7"/>
  <c r="I20" i="7" s="1"/>
  <c r="H14" i="7"/>
  <c r="I14" i="7" s="1"/>
  <c r="H19" i="7"/>
  <c r="I19" i="7" s="1"/>
  <c r="H15" i="7"/>
  <c r="I15" i="7" s="1"/>
  <c r="C17" i="7"/>
  <c r="D17" i="7" s="1"/>
  <c r="H16" i="7"/>
  <c r="I16" i="7" s="1"/>
  <c r="C18" i="7"/>
  <c r="D18" i="7" s="1"/>
  <c r="C14" i="7"/>
  <c r="D14" i="7" s="1"/>
  <c r="H17" i="7"/>
  <c r="I17" i="7" s="1"/>
  <c r="H13" i="7"/>
  <c r="B9" i="7"/>
  <c r="C16" i="6"/>
  <c r="D16" i="6" s="1"/>
  <c r="C13" i="6"/>
  <c r="C17" i="6"/>
  <c r="D17" i="6" s="1"/>
  <c r="H20" i="6"/>
  <c r="I20" i="6" s="1"/>
  <c r="H16" i="6"/>
  <c r="I16" i="6" s="1"/>
  <c r="H13" i="6"/>
  <c r="H17" i="6"/>
  <c r="I17" i="6" s="1"/>
  <c r="H14" i="6"/>
  <c r="I14" i="6" s="1"/>
  <c r="H18" i="6"/>
  <c r="I18" i="6" s="1"/>
  <c r="H21" i="6"/>
  <c r="I21" i="6" s="1"/>
  <c r="C14" i="6"/>
  <c r="D14" i="6" s="1"/>
  <c r="C18" i="6"/>
  <c r="D18" i="6" s="1"/>
  <c r="H15" i="6"/>
  <c r="I15" i="6" s="1"/>
  <c r="H19" i="6"/>
  <c r="I19" i="6" s="1"/>
  <c r="C15" i="6"/>
  <c r="D15" i="6" s="1"/>
  <c r="B9" i="6"/>
  <c r="H14" i="5"/>
  <c r="I14" i="5" s="1"/>
  <c r="H18" i="5"/>
  <c r="I18" i="5" s="1"/>
  <c r="H20" i="5"/>
  <c r="I20" i="5" s="1"/>
  <c r="H16" i="5"/>
  <c r="I16" i="5" s="1"/>
  <c r="H13" i="5"/>
  <c r="H21" i="5"/>
  <c r="I21" i="5" s="1"/>
  <c r="H17" i="5"/>
  <c r="I17" i="5" s="1"/>
  <c r="C14" i="5"/>
  <c r="D14" i="5" s="1"/>
  <c r="C18" i="5"/>
  <c r="D18" i="5" s="1"/>
  <c r="C13" i="5"/>
  <c r="C17" i="5"/>
  <c r="D17" i="5" s="1"/>
  <c r="C16" i="5"/>
  <c r="D16" i="5" s="1"/>
  <c r="H15" i="5"/>
  <c r="I15" i="5" s="1"/>
  <c r="H19" i="5"/>
  <c r="I19" i="5" s="1"/>
  <c r="C15" i="5"/>
  <c r="D15" i="5" s="1"/>
  <c r="B9" i="5"/>
  <c r="B9" i="4"/>
  <c r="H21" i="4"/>
  <c r="I21" i="4" s="1"/>
  <c r="H14" i="4"/>
  <c r="I14" i="4" s="1"/>
  <c r="C13" i="4"/>
  <c r="H18" i="4"/>
  <c r="I18" i="4" s="1"/>
  <c r="H20" i="4"/>
  <c r="I20" i="4" s="1"/>
  <c r="C17" i="4"/>
  <c r="D17" i="4" s="1"/>
  <c r="H16" i="4"/>
  <c r="I16" i="4" s="1"/>
  <c r="H19" i="4"/>
  <c r="I19" i="4" s="1"/>
  <c r="H15" i="4"/>
  <c r="I15" i="4" s="1"/>
  <c r="H17" i="4"/>
  <c r="I17" i="4" s="1"/>
  <c r="H13" i="4"/>
  <c r="C15" i="4"/>
  <c r="D15" i="4" s="1"/>
  <c r="C18" i="4"/>
  <c r="D18" i="4" s="1"/>
  <c r="C14" i="4"/>
  <c r="D14" i="4" s="1"/>
  <c r="C16" i="4"/>
  <c r="D16" i="4" s="1"/>
  <c r="C16" i="3"/>
  <c r="D16" i="3" s="1"/>
  <c r="C13" i="3"/>
  <c r="C17" i="3"/>
  <c r="D17" i="3" s="1"/>
  <c r="H20" i="3"/>
  <c r="I20" i="3" s="1"/>
  <c r="H16" i="3"/>
  <c r="I16" i="3" s="1"/>
  <c r="H13" i="3"/>
  <c r="H17" i="3"/>
  <c r="I17" i="3" s="1"/>
  <c r="H14" i="3"/>
  <c r="I14" i="3" s="1"/>
  <c r="H18" i="3"/>
  <c r="I18" i="3" s="1"/>
  <c r="H21" i="3"/>
  <c r="I21" i="3" s="1"/>
  <c r="C14" i="3"/>
  <c r="D14" i="3" s="1"/>
  <c r="C18" i="3"/>
  <c r="D18" i="3" s="1"/>
  <c r="H15" i="3"/>
  <c r="I15" i="3" s="1"/>
  <c r="H19" i="3"/>
  <c r="I19" i="3" s="1"/>
  <c r="C15" i="3"/>
  <c r="D15" i="3" s="1"/>
  <c r="B9" i="3"/>
  <c r="D13" i="13" l="1"/>
  <c r="D27" i="13" s="1"/>
  <c r="C27" i="13"/>
  <c r="H27" i="13"/>
  <c r="I13" i="13"/>
  <c r="I27" i="13" s="1"/>
  <c r="D13" i="12"/>
  <c r="D27" i="12" s="1"/>
  <c r="C27" i="12"/>
  <c r="H27" i="12"/>
  <c r="I13" i="12"/>
  <c r="I27" i="12" s="1"/>
  <c r="H27" i="11"/>
  <c r="I13" i="11"/>
  <c r="I27" i="11" s="1"/>
  <c r="D13" i="11"/>
  <c r="D27" i="11" s="1"/>
  <c r="C27" i="11"/>
  <c r="D27" i="10"/>
  <c r="C27" i="10"/>
  <c r="H27" i="10"/>
  <c r="I13" i="10"/>
  <c r="I27" i="10" s="1"/>
  <c r="H27" i="9"/>
  <c r="I13" i="9"/>
  <c r="I27" i="9" s="1"/>
  <c r="D13" i="9"/>
  <c r="D27" i="9" s="1"/>
  <c r="C27" i="9"/>
  <c r="H27" i="8"/>
  <c r="I13" i="8"/>
  <c r="I27" i="8" s="1"/>
  <c r="D13" i="8"/>
  <c r="D27" i="8" s="1"/>
  <c r="C27" i="8"/>
  <c r="C27" i="7"/>
  <c r="D27" i="7"/>
  <c r="H27" i="7"/>
  <c r="I13" i="7"/>
  <c r="I27" i="7" s="1"/>
  <c r="H27" i="6"/>
  <c r="I13" i="6"/>
  <c r="I27" i="6" s="1"/>
  <c r="D13" i="6"/>
  <c r="D27" i="6" s="1"/>
  <c r="C27" i="6"/>
  <c r="D13" i="5"/>
  <c r="D27" i="5" s="1"/>
  <c r="C27" i="5"/>
  <c r="H27" i="5"/>
  <c r="I13" i="5"/>
  <c r="I27" i="5" s="1"/>
  <c r="C27" i="4"/>
  <c r="D13" i="4"/>
  <c r="D27" i="4" s="1"/>
  <c r="I13" i="4"/>
  <c r="I27" i="4" s="1"/>
  <c r="H27" i="4"/>
  <c r="H27" i="3"/>
  <c r="I13" i="3"/>
  <c r="I27" i="3" s="1"/>
  <c r="D13" i="3"/>
  <c r="D27" i="3" s="1"/>
  <c r="C27" i="3"/>
  <c r="D7" i="1" a="1"/>
  <c r="C7" i="1" a="1"/>
  <c r="B6" i="1" a="1"/>
  <c r="B7" i="1" a="1"/>
  <c r="D7" i="1" l="1"/>
  <c r="C7" i="1"/>
  <c r="B7" i="1"/>
  <c r="B6" i="1"/>
  <c r="X27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W27" i="1"/>
  <c r="V27" i="1"/>
  <c r="R27" i="1"/>
  <c r="S27" i="1"/>
  <c r="M27" i="1"/>
  <c r="N27" i="1"/>
  <c r="G27" i="1"/>
  <c r="B27" i="1"/>
  <c r="B5" i="1" a="1"/>
  <c r="B5" i="1" l="1"/>
  <c r="A2" i="1" l="1" a="1"/>
  <c r="A2" i="1" s="1"/>
  <c r="Q17" i="1" s="1"/>
  <c r="Q16" i="1" l="1"/>
  <c r="Q15" i="1"/>
  <c r="Q14" i="1"/>
  <c r="Q13" i="1"/>
  <c r="L18" i="1"/>
  <c r="L14" i="1"/>
  <c r="L17" i="1"/>
  <c r="L13" i="1"/>
  <c r="L15" i="1"/>
  <c r="L16" i="1"/>
  <c r="C17" i="1" a="1"/>
  <c r="C18" i="1" a="1"/>
  <c r="H16" i="1" a="1"/>
  <c r="C13" i="1" a="1"/>
  <c r="C16" i="1" a="1"/>
  <c r="H14" i="1" a="1"/>
  <c r="H18" i="1" a="1"/>
  <c r="C15" i="1" a="1"/>
  <c r="H20" i="1" a="1"/>
  <c r="H19" i="1" a="1"/>
  <c r="C14" i="1" a="1"/>
  <c r="H17" i="1" a="1"/>
  <c r="H15" i="1" a="1"/>
  <c r="H13" i="1" a="1"/>
  <c r="H21" i="1" a="1"/>
  <c r="C13" i="1" l="1"/>
  <c r="H13" i="1"/>
  <c r="H21" i="1"/>
  <c r="I21" i="1" s="1"/>
  <c r="H17" i="1"/>
  <c r="I17" i="1" s="1"/>
  <c r="H18" i="1"/>
  <c r="I18" i="1" s="1"/>
  <c r="H16" i="1"/>
  <c r="I16" i="1" s="1"/>
  <c r="H20" i="1"/>
  <c r="I20" i="1" s="1"/>
  <c r="H15" i="1"/>
  <c r="I15" i="1" s="1"/>
  <c r="H19" i="1"/>
  <c r="I19" i="1" s="1"/>
  <c r="H14" i="1"/>
  <c r="I14" i="1" s="1"/>
  <c r="C15" i="1"/>
  <c r="D15" i="1" s="1"/>
  <c r="C18" i="1"/>
  <c r="D18" i="1" s="1"/>
  <c r="C16" i="1"/>
  <c r="D16" i="1" s="1"/>
  <c r="C17" i="1"/>
  <c r="D17" i="1" s="1"/>
  <c r="C14" i="1"/>
  <c r="D14" i="1" s="1"/>
  <c r="C27" i="1" l="1"/>
  <c r="I13" i="1"/>
  <c r="I27" i="1" s="1"/>
  <c r="H27" i="1"/>
  <c r="D13" i="1"/>
  <c r="D27" i="1" s="1"/>
  <c r="B9" i="1"/>
  <c r="C5" i="13" a="1"/>
  <c r="D6" i="13" a="1"/>
  <c r="C6" i="13" a="1"/>
  <c r="D5" i="13" a="1"/>
  <c r="C5" i="12" a="1"/>
  <c r="D6" i="12" a="1"/>
  <c r="C6" i="12" a="1"/>
  <c r="D5" i="12" a="1"/>
  <c r="C5" i="11" a="1"/>
  <c r="D6" i="11" a="1"/>
  <c r="C6" i="11" a="1"/>
  <c r="D5" i="11" a="1"/>
  <c r="C5" i="10" a="1"/>
  <c r="D6" i="10" a="1"/>
  <c r="C6" i="10" a="1"/>
  <c r="D5" i="10" a="1"/>
  <c r="C5" i="9" a="1"/>
  <c r="D6" i="9" a="1"/>
  <c r="C6" i="9" a="1"/>
  <c r="D5" i="9" a="1"/>
  <c r="C5" i="8" a="1"/>
  <c r="D6" i="8" a="1"/>
  <c r="C6" i="8" a="1"/>
  <c r="D5" i="8" a="1"/>
  <c r="C5" i="7" a="1"/>
  <c r="D6" i="7" a="1"/>
  <c r="C6" i="7" a="1"/>
  <c r="D5" i="7" a="1"/>
  <c r="C5" i="6" a="1"/>
  <c r="D6" i="6" a="1"/>
  <c r="C6" i="6" a="1"/>
  <c r="D5" i="6" a="1"/>
  <c r="C5" i="5" a="1"/>
  <c r="D6" i="5" a="1"/>
  <c r="C6" i="5" a="1"/>
  <c r="D5" i="5" a="1"/>
  <c r="C5" i="4" a="1"/>
  <c r="D6" i="4" a="1"/>
  <c r="C6" i="4" a="1"/>
  <c r="D5" i="4" a="1"/>
  <c r="C5" i="3" a="1"/>
  <c r="D5" i="3" a="1"/>
  <c r="D6" i="3" a="1"/>
  <c r="C6" i="3" a="1"/>
  <c r="D6" i="1" a="1"/>
  <c r="D5" i="1" a="1"/>
  <c r="C6" i="1" a="1"/>
  <c r="C5" i="1" a="1"/>
  <c r="D5" i="13" l="1"/>
  <c r="C6" i="13"/>
  <c r="D6" i="13"/>
  <c r="C5" i="13"/>
  <c r="D5" i="12"/>
  <c r="C6" i="12"/>
  <c r="D6" i="12"/>
  <c r="C5" i="12"/>
  <c r="D5" i="11"/>
  <c r="C6" i="11"/>
  <c r="D6" i="11"/>
  <c r="C5" i="11"/>
  <c r="D5" i="10"/>
  <c r="C6" i="10"/>
  <c r="D6" i="10"/>
  <c r="C5" i="10"/>
  <c r="D5" i="9"/>
  <c r="C6" i="9"/>
  <c r="D6" i="9"/>
  <c r="C5" i="9"/>
  <c r="D5" i="8"/>
  <c r="C6" i="8"/>
  <c r="D6" i="8"/>
  <c r="C5" i="8"/>
  <c r="D5" i="7"/>
  <c r="C6" i="7"/>
  <c r="D6" i="7"/>
  <c r="C5" i="7"/>
  <c r="D5" i="6"/>
  <c r="C6" i="6"/>
  <c r="D6" i="6"/>
  <c r="C5" i="6"/>
  <c r="D5" i="5"/>
  <c r="C6" i="5"/>
  <c r="D6" i="5"/>
  <c r="C5" i="5"/>
  <c r="D5" i="4"/>
  <c r="C6" i="4"/>
  <c r="D6" i="4"/>
  <c r="C5" i="4"/>
  <c r="C6" i="3"/>
  <c r="D6" i="3"/>
  <c r="D5" i="3"/>
  <c r="C5" i="3"/>
  <c r="D6" i="1"/>
  <c r="D5" i="1"/>
  <c r="C6" i="1"/>
  <c r="C5" i="1"/>
  <c r="D9" i="13" l="1"/>
  <c r="C9" i="12"/>
  <c r="C9" i="13"/>
  <c r="C9" i="9"/>
  <c r="D9" i="12"/>
  <c r="C9" i="11"/>
  <c r="D9" i="11"/>
  <c r="C9" i="10"/>
  <c r="D9" i="10"/>
  <c r="D9" i="9"/>
  <c r="C9" i="8"/>
  <c r="D9" i="8"/>
  <c r="C9" i="7"/>
  <c r="D9" i="7"/>
  <c r="C9" i="6"/>
  <c r="D9" i="6"/>
  <c r="C9" i="5"/>
  <c r="D9" i="3"/>
  <c r="D9" i="5"/>
  <c r="C9" i="3"/>
  <c r="C9" i="4"/>
  <c r="D9" i="4"/>
  <c r="D9" i="1"/>
  <c r="C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<sst xmlns="http://schemas.openxmlformats.org/spreadsheetml/2006/main" count="804" uniqueCount="47">
  <si>
    <t>Incomes</t>
  </si>
  <si>
    <t>Expenses</t>
  </si>
  <si>
    <t>Bills</t>
  </si>
  <si>
    <t>Subscriptions</t>
  </si>
  <si>
    <t>Savings</t>
  </si>
  <si>
    <t>Source</t>
  </si>
  <si>
    <t>Planned</t>
  </si>
  <si>
    <t>Actual</t>
  </si>
  <si>
    <t>Category</t>
  </si>
  <si>
    <t>Bill</t>
  </si>
  <si>
    <t>Service</t>
  </si>
  <si>
    <t>Aim</t>
  </si>
  <si>
    <t>Allowance</t>
  </si>
  <si>
    <t>Rent</t>
  </si>
  <si>
    <t>Netflix</t>
  </si>
  <si>
    <t>Scholarship</t>
  </si>
  <si>
    <t>Groceries</t>
  </si>
  <si>
    <t>Electricity</t>
  </si>
  <si>
    <t>Spotify</t>
  </si>
  <si>
    <t>Gas</t>
  </si>
  <si>
    <t>Water</t>
  </si>
  <si>
    <t>ChatGPT</t>
  </si>
  <si>
    <t>Waste</t>
  </si>
  <si>
    <t>Entertainment</t>
  </si>
  <si>
    <t>Internet</t>
  </si>
  <si>
    <t>Month</t>
  </si>
  <si>
    <t>Left</t>
  </si>
  <si>
    <t>Balance</t>
  </si>
  <si>
    <t>Financial</t>
  </si>
  <si>
    <t>Gift</t>
  </si>
  <si>
    <t>Salary</t>
  </si>
  <si>
    <t>Clothing</t>
  </si>
  <si>
    <t>Health&amp;Beauty</t>
  </si>
  <si>
    <t>Multimedia</t>
  </si>
  <si>
    <t>Studies</t>
  </si>
  <si>
    <t>Transportation</t>
  </si>
  <si>
    <t>Bookbeat</t>
  </si>
  <si>
    <t>Duolingo</t>
  </si>
  <si>
    <t>Laptop</t>
  </si>
  <si>
    <t>Summer holidays</t>
  </si>
  <si>
    <t>Other incoms</t>
  </si>
  <si>
    <t>Accomodation</t>
  </si>
  <si>
    <t>Other expences</t>
  </si>
  <si>
    <t>Rainy day</t>
  </si>
  <si>
    <t>Due</t>
  </si>
  <si>
    <t>Total</t>
  </si>
  <si>
    <t>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</si>
</sst>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\ &quot;zł&quot;_-;\-* #,##0.00\ &quot;zł&quot;_-;_-* &quot;-&quot;??\ &quot;zł&quot;_-;_-@_-"/>
    <numFmt numFmtId="165" formatCode="_-* #,##0.00\ [$zł-415]_-;\-* #,##0.00\ [$zł-415]_-;_-* &quot;-&quot;??\ [$zł-415]_-;_-@_-"/>
  </numFmts>
  <fonts count="7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4"/>
      <color theme="1"/>
      <name val="Comic Sans MS"/>
      <family val="4"/>
      <charset val="238"/>
    </font>
    <font>
      <sz val="14"/>
      <color theme="7" tint="0.79998168889431442"/>
      <name val="Comic Sans MS"/>
      <family val="4"/>
      <charset val="238"/>
    </font>
    <font>
      <sz val="14"/>
      <color theme="0"/>
      <name val="Comic Sans MS"/>
      <family val="4"/>
      <charset val="238"/>
    </font>
    <font>
      <sz val="14"/>
      <color rgb="FFFF0000"/>
      <name val="Comic Sans MS"/>
      <family val="4"/>
      <charset val="238"/>
    </font>
    <font>
      <b/>
      <sz val="14"/>
      <color theme="0"/>
      <name val="Comic Sans MS"/>
      <family val="4"/>
      <charset val="238"/>
    </font>
  </fonts>
  <fills count="1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7">
    <xf numFmtId="0" fontId="0" fillId="0" borderId="0" xfId="0"/>
    <xf numFmtId="0" fontId="2" fillId="0" borderId="0" xfId="0" applyFont="1"/>
    <xf numFmtId="0" fontId="2" fillId="2" borderId="1" xfId="0" applyFont="1" applyFill="1" applyBorder="1"/>
    <xf numFmtId="165" fontId="2" fillId="3" borderId="1" xfId="1" applyNumberFormat="1" applyFont="1" applyFill="1" applyBorder="1"/>
    <xf numFmtId="0" fontId="2" fillId="4" borderId="1" xfId="0" applyFont="1" applyFill="1" applyBorder="1"/>
    <xf numFmtId="165" fontId="2" fillId="4" borderId="1" xfId="0" applyNumberFormat="1" applyFont="1" applyFill="1" applyBorder="1"/>
    <xf numFmtId="0" fontId="3" fillId="0" borderId="0" xfId="0" applyFont="1"/>
    <xf numFmtId="165" fontId="2" fillId="11" borderId="1" xfId="0" applyNumberFormat="1" applyFont="1" applyFill="1" applyBorder="1"/>
    <xf numFmtId="165" fontId="2" fillId="2" borderId="1" xfId="1" applyNumberFormat="1" applyFont="1" applyFill="1" applyBorder="1"/>
    <xf numFmtId="165" fontId="2" fillId="12" borderId="1" xfId="0" applyNumberFormat="1" applyFont="1" applyFill="1" applyBorder="1"/>
    <xf numFmtId="165" fontId="4" fillId="14" borderId="1" xfId="0" applyNumberFormat="1" applyFont="1" applyFill="1" applyBorder="1"/>
    <xf numFmtId="0" fontId="2" fillId="16" borderId="1" xfId="0" applyFont="1" applyFill="1" applyBorder="1"/>
    <xf numFmtId="0" fontId="4" fillId="0" borderId="0" xfId="0" applyFont="1"/>
    <xf numFmtId="0" fontId="2" fillId="0" borderId="2" xfId="0" applyFont="1" applyBorder="1"/>
    <xf numFmtId="14" fontId="5" fillId="2" borderId="1" xfId="0" applyNumberFormat="1" applyFont="1" applyFill="1" applyBorder="1"/>
    <xf numFmtId="14" fontId="5" fillId="4" borderId="1" xfId="0" applyNumberFormat="1" applyFont="1" applyFill="1" applyBorder="1"/>
    <xf numFmtId="0" fontId="2" fillId="11" borderId="5" xfId="0" applyFont="1" applyFill="1" applyBorder="1"/>
    <xf numFmtId="165" fontId="2" fillId="11" borderId="3" xfId="0" applyNumberFormat="1" applyFont="1" applyFill="1" applyBorder="1"/>
    <xf numFmtId="0" fontId="2" fillId="11" borderId="9" xfId="0" applyFont="1" applyFill="1" applyBorder="1"/>
    <xf numFmtId="165" fontId="2" fillId="11" borderId="10" xfId="0" applyNumberFormat="1" applyFont="1" applyFill="1" applyBorder="1"/>
    <xf numFmtId="165" fontId="2" fillId="11" borderId="11" xfId="0" applyNumberFormat="1" applyFont="1" applyFill="1" applyBorder="1"/>
    <xf numFmtId="0" fontId="2" fillId="3" borderId="5" xfId="0" applyFont="1" applyFill="1" applyBorder="1"/>
    <xf numFmtId="165" fontId="2" fillId="3" borderId="3" xfId="1" applyNumberFormat="1" applyFont="1" applyFill="1" applyBorder="1"/>
    <xf numFmtId="0" fontId="2" fillId="9" borderId="6" xfId="0" applyFont="1" applyFill="1" applyBorder="1"/>
    <xf numFmtId="0" fontId="2" fillId="9" borderId="7" xfId="0" applyFont="1" applyFill="1" applyBorder="1"/>
    <xf numFmtId="0" fontId="2" fillId="9" borderId="8" xfId="0" applyFont="1" applyFill="1" applyBorder="1"/>
    <xf numFmtId="0" fontId="2" fillId="3" borderId="9" xfId="0" applyFont="1" applyFill="1" applyBorder="1"/>
    <xf numFmtId="165" fontId="2" fillId="3" borderId="10" xfId="1" applyNumberFormat="1" applyFont="1" applyFill="1" applyBorder="1"/>
    <xf numFmtId="165" fontId="2" fillId="3" borderId="11" xfId="1" applyNumberFormat="1" applyFont="1" applyFill="1" applyBorder="1"/>
    <xf numFmtId="0" fontId="2" fillId="2" borderId="5" xfId="0" applyFont="1" applyFill="1" applyBorder="1"/>
    <xf numFmtId="165" fontId="2" fillId="2" borderId="3" xfId="1" applyNumberFormat="1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2" fillId="8" borderId="8" xfId="0" applyFont="1" applyFill="1" applyBorder="1"/>
    <xf numFmtId="0" fontId="2" fillId="2" borderId="9" xfId="0" applyFont="1" applyFill="1" applyBorder="1"/>
    <xf numFmtId="0" fontId="2" fillId="2" borderId="10" xfId="0" applyFont="1" applyFill="1" applyBorder="1"/>
    <xf numFmtId="165" fontId="2" fillId="2" borderId="10" xfId="1" applyNumberFormat="1" applyFont="1" applyFill="1" applyBorder="1"/>
    <xf numFmtId="165" fontId="2" fillId="2" borderId="11" xfId="1" applyNumberFormat="1" applyFont="1" applyFill="1" applyBorder="1"/>
    <xf numFmtId="0" fontId="2" fillId="4" borderId="5" xfId="0" applyFont="1" applyFill="1" applyBorder="1"/>
    <xf numFmtId="165" fontId="2" fillId="4" borderId="3" xfId="0" applyNumberFormat="1" applyFont="1" applyFill="1" applyBorder="1"/>
    <xf numFmtId="0" fontId="2" fillId="10" borderId="6" xfId="0" applyFont="1" applyFill="1" applyBorder="1"/>
    <xf numFmtId="0" fontId="2" fillId="10" borderId="7" xfId="0" applyFont="1" applyFill="1" applyBorder="1"/>
    <xf numFmtId="0" fontId="2" fillId="10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165" fontId="2" fillId="4" borderId="10" xfId="0" applyNumberFormat="1" applyFont="1" applyFill="1" applyBorder="1"/>
    <xf numFmtId="165" fontId="2" fillId="4" borderId="11" xfId="0" applyNumberFormat="1" applyFont="1" applyFill="1" applyBorder="1"/>
    <xf numFmtId="0" fontId="2" fillId="12" borderId="5" xfId="0" applyFont="1" applyFill="1" applyBorder="1"/>
    <xf numFmtId="165" fontId="2" fillId="12" borderId="3" xfId="0" applyNumberFormat="1" applyFont="1" applyFill="1" applyBorder="1"/>
    <xf numFmtId="0" fontId="2" fillId="16" borderId="6" xfId="0" applyFont="1" applyFill="1" applyBorder="1"/>
    <xf numFmtId="0" fontId="2" fillId="16" borderId="7" xfId="0" applyFont="1" applyFill="1" applyBorder="1"/>
    <xf numFmtId="0" fontId="2" fillId="16" borderId="8" xfId="0" applyFont="1" applyFill="1" applyBorder="1"/>
    <xf numFmtId="0" fontId="2" fillId="12" borderId="9" xfId="0" applyFont="1" applyFill="1" applyBorder="1"/>
    <xf numFmtId="165" fontId="2" fillId="12" borderId="10" xfId="0" applyNumberFormat="1" applyFont="1" applyFill="1" applyBorder="1"/>
    <xf numFmtId="165" fontId="2" fillId="12" borderId="11" xfId="0" applyNumberFormat="1" applyFont="1" applyFill="1" applyBorder="1"/>
    <xf numFmtId="0" fontId="6" fillId="15" borderId="6" xfId="0" applyFont="1" applyFill="1" applyBorder="1"/>
    <xf numFmtId="0" fontId="6" fillId="15" borderId="7" xfId="0" applyFont="1" applyFill="1" applyBorder="1"/>
    <xf numFmtId="0" fontId="6" fillId="15" borderId="8" xfId="0" applyFont="1" applyFill="1" applyBorder="1"/>
    <xf numFmtId="0" fontId="4" fillId="6" borderId="9" xfId="0" applyFont="1" applyFill="1" applyBorder="1"/>
    <xf numFmtId="165" fontId="4" fillId="6" borderId="10" xfId="0" applyNumberFormat="1" applyFont="1" applyFill="1" applyBorder="1"/>
    <xf numFmtId="165" fontId="4" fillId="6" borderId="11" xfId="0" applyNumberFormat="1" applyFont="1" applyFill="1" applyBorder="1"/>
    <xf numFmtId="0" fontId="6" fillId="13" borderId="9" xfId="0" applyFont="1" applyFill="1" applyBorder="1"/>
    <xf numFmtId="165" fontId="6" fillId="13" borderId="10" xfId="0" applyNumberFormat="1" applyFont="1" applyFill="1" applyBorder="1"/>
    <xf numFmtId="165" fontId="6" fillId="13" borderId="11" xfId="0" applyNumberFormat="1" applyFont="1" applyFill="1" applyBorder="1"/>
    <xf numFmtId="0" fontId="4" fillId="5" borderId="9" xfId="0" applyFont="1" applyFill="1" applyBorder="1"/>
    <xf numFmtId="0" fontId="4" fillId="5" borderId="10" xfId="0" applyFont="1" applyFill="1" applyBorder="1"/>
    <xf numFmtId="165" fontId="4" fillId="5" borderId="10" xfId="0" applyNumberFormat="1" applyFont="1" applyFill="1" applyBorder="1"/>
    <xf numFmtId="0" fontId="4" fillId="5" borderId="11" xfId="0" applyNumberFormat="1" applyFont="1" applyFill="1" applyBorder="1"/>
    <xf numFmtId="0" fontId="4" fillId="7" borderId="9" xfId="0" applyFont="1" applyFill="1" applyBorder="1"/>
    <xf numFmtId="0" fontId="4" fillId="7" borderId="10" xfId="0" applyFont="1" applyFill="1" applyBorder="1"/>
    <xf numFmtId="165" fontId="4" fillId="7" borderId="10" xfId="0" applyNumberFormat="1" applyFont="1" applyFill="1" applyBorder="1"/>
    <xf numFmtId="0" fontId="4" fillId="7" borderId="11" xfId="0" applyFont="1" applyFill="1" applyBorder="1"/>
    <xf numFmtId="0" fontId="4" fillId="14" borderId="9" xfId="0" applyFont="1" applyFill="1" applyBorder="1"/>
    <xf numFmtId="165" fontId="4" fillId="14" borderId="10" xfId="0" applyNumberFormat="1" applyFont="1" applyFill="1" applyBorder="1"/>
    <xf numFmtId="165" fontId="4" fillId="14" borderId="11" xfId="0" applyNumberFormat="1" applyFont="1" applyFill="1" applyBorder="1"/>
    <xf numFmtId="0" fontId="4" fillId="7" borderId="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4" fillId="14" borderId="0" xfId="0" applyFont="1" applyFill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4" fillId="13" borderId="2" xfId="0" applyFont="1" applyFill="1" applyBorder="1" applyAlignment="1">
      <alignment horizontal="center"/>
    </xf>
    <xf numFmtId="0" fontId="4" fillId="13" borderId="0" xfId="0" applyFont="1" applyFill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14" borderId="0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theme="8" tint="-0.249977111117893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b/>
        <strike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</font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b/>
        <i/>
        <color theme="5" tint="0.39994506668294322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Light16">
    <tableStyle name="Table Style" pivot="0" count="1" xr9:uid="{9186B6AD-1665-4F74-9CF2-F839F38C8769}">
      <tableStyleElement type="wholeTable" dxfId="781"/>
    </tableStyle>
    <tableStyle name="Table Style Mine" pivot="0" count="1" xr9:uid="{24B62284-CFD2-4A14-AE2B-17A7B7FDD7B4}">
      <tableStyleElement type="wholeTable" dxfId="7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'1'!$B$5:$B$7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C8-4A7E-8CE5-C769EA05239E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'1'!$C$5:$C$7</c:f>
              <c:numCache>
                <c:formatCode>_-* #,##0.00\ [$zł-415]_-;\-* #,##0.00\ [$zł-415]_-;_-* "-"??\ [$zł-415]_-;_-@_-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C8-4A7E-8CE5-C769EA052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51C-452A-A20D-58552FF1E396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151C-452A-A20D-58552FF1E396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51C-452A-A20D-58552FF1E396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51C-452A-A20D-58552FF1E396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151C-452A-A20D-58552FF1E396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51C-452A-A20D-58552FF1E396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51C-452A-A20D-58552FF1E396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51C-452A-A20D-58552FF1E396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51C-452A-A20D-58552FF1E396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425-43C7-ADE7-64C245C14210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425-43C7-ADE7-64C245C14210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425-43C7-ADE7-64C245C14210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425-43C7-ADE7-64C245C14210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425-43C7-ADE7-64C245C14210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51C-452A-A20D-58552FF1E396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51C-452A-A20D-58552FF1E396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51C-452A-A20D-58552FF1E396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51C-452A-A20D-58552FF1E396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51C-452A-A20D-58552FF1E396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51C-452A-A20D-58552FF1E396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1C-452A-A20D-58552FF1E396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51C-452A-A20D-58552FF1E396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51C-452A-A20D-58552FF1E3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1C-452A-A20D-58552FF1E396}"/>
            </c:ext>
          </c:extLst>
        </c:ser>
        <c:ser>
          <c:idx val="1"/>
          <c:order val="1"/>
          <c:tx>
            <c:strRef>
              <c:f>'1'!$H$12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51C-452A-A20D-58552FF1E396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151C-452A-A20D-58552FF1E396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51C-452A-A20D-58552FF1E396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151C-452A-A20D-58552FF1E396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51C-452A-A20D-58552FF1E396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51C-452A-A20D-58552FF1E396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51C-452A-A20D-58552FF1E396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51C-452A-A20D-58552FF1E396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51C-452A-A20D-58552FF1E396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A425-43C7-ADE7-64C245C14210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A425-43C7-ADE7-64C245C14210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A425-43C7-ADE7-64C245C14210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A425-43C7-ADE7-64C245C14210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A425-43C7-ADE7-64C245C14210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51C-452A-A20D-58552FF1E396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51C-452A-A20D-58552FF1E396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51C-452A-A20D-58552FF1E396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51C-452A-A20D-58552FF1E396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51C-452A-A20D-58552FF1E396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51C-452A-A20D-58552FF1E396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1C-452A-A20D-58552FF1E396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51C-452A-A20D-58552FF1E396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51C-452A-A20D-58552FF1E3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'1'!$H$13:$H$26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1C-452A-A20D-58552FF1E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0D2-4759-A12E-6D171279F045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68A-4B95-98D2-62564A6546AA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68A-4B95-98D2-62564A6546AA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68A-4B95-98D2-62564A6546AA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68A-4B95-98D2-62564A6546AA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8A-4B95-98D2-62564A6546AA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0D2-4759-A12E-6D171279F045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0D2-4759-A12E-6D171279F045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0D2-4759-A12E-6D171279F045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0D2-4759-A12E-6D171279F045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0D2-4759-A12E-6D171279F045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0D2-4759-A12E-6D171279F045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0D2-4759-A12E-6D171279F045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0D2-4759-A12E-6D171279F045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8A-4B95-98D2-62564A6546AA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8A-4B95-98D2-62564A6546AA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68A-4B95-98D2-62564A6546AA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8A-4B95-98D2-62564A6546AA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8A-4B95-98D2-62564A6546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A-4B95-98D2-62564A6546AA}"/>
            </c:ext>
          </c:extLst>
        </c:ser>
        <c:ser>
          <c:idx val="1"/>
          <c:order val="1"/>
          <c:tx>
            <c:strRef>
              <c:f>'1'!$C$12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68A-4B95-98D2-62564A6546AA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68A-4B95-98D2-62564A6546AA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8A-4B95-98D2-62564A6546AA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68A-4B95-98D2-62564A6546AA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68A-4B95-98D2-62564A6546AA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8A-4B95-98D2-62564A6546AA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30D2-4759-A12E-6D171279F045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30D2-4759-A12E-6D171279F045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30D2-4759-A12E-6D171279F045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30D2-4759-A12E-6D171279F045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30D2-4759-A12E-6D171279F045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30D2-4759-A12E-6D171279F045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30D2-4759-A12E-6D171279F045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30D2-4759-A12E-6D171279F045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8A-4B95-98D2-62564A6546AA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8A-4B95-98D2-62564A6546AA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8A-4B95-98D2-62564A6546AA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8A-4B95-98D2-62564A6546AA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8A-4B95-98D2-62564A6546AA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8A-4B95-98D2-62564A6546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8A-4B95-98D2-62564A654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'2'!$B$5:$B$7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F-491A-B594-78C88AE50002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'2'!$C$5:$C$7</c:f>
              <c:numCache>
                <c:formatCode>_-* #,##0.00\ [$zł-415]_-;\-* #,##0.00\ [$zł-415]_-;_-* "-"??\ [$zł-415]_-;_-@_-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F-491A-B594-78C88AE50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'2'!$G$12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E69-4FA2-8BBA-78095C0281DA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69-4FA2-8BBA-78095C0281DA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E69-4FA2-8BBA-78095C0281DA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E69-4FA2-8BBA-78095C0281DA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E69-4FA2-8BBA-78095C0281DA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E69-4FA2-8BBA-78095C0281DA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E69-4FA2-8BBA-78095C0281DA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E69-4FA2-8BBA-78095C0281DA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E69-4FA2-8BBA-78095C0281DA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E69-4FA2-8BBA-78095C0281DA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E69-4FA2-8BBA-78095C0281DA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E69-4FA2-8BBA-78095C0281DA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E69-4FA2-8BBA-78095C0281DA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E69-4FA2-8BBA-78095C0281DA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E69-4FA2-8BBA-78095C0281DA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69-4FA2-8BBA-78095C0281DA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E69-4FA2-8BBA-78095C0281DA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69-4FA2-8BBA-78095C0281DA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E69-4FA2-8BBA-78095C0281DA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69-4FA2-8BBA-78095C0281DA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E69-4FA2-8BBA-78095C0281DA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E69-4FA2-8BBA-78095C0281DA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E69-4FA2-8BBA-78095C0281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'2'!$G$13:$G$26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E69-4FA2-8BBA-78095C0281DA}"/>
            </c:ext>
          </c:extLst>
        </c:ser>
        <c:ser>
          <c:idx val="1"/>
          <c:order val="1"/>
          <c:tx>
            <c:strRef>
              <c:f>'2'!$H$12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5E69-4FA2-8BBA-78095C0281DA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5E69-4FA2-8BBA-78095C0281DA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5E69-4FA2-8BBA-78095C0281DA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5E69-4FA2-8BBA-78095C0281DA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5E69-4FA2-8BBA-78095C0281DA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5E69-4FA2-8BBA-78095C0281DA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5E69-4FA2-8BBA-78095C0281DA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5E69-4FA2-8BBA-78095C0281DA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5E69-4FA2-8BBA-78095C0281DA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5E69-4FA2-8BBA-78095C0281DA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5E69-4FA2-8BBA-78095C0281DA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5E69-4FA2-8BBA-78095C0281DA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5E69-4FA2-8BBA-78095C0281DA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5E69-4FA2-8BBA-78095C0281DA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E69-4FA2-8BBA-78095C0281DA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E69-4FA2-8BBA-78095C0281DA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E69-4FA2-8BBA-78095C0281DA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5E69-4FA2-8BBA-78095C0281DA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5E69-4FA2-8BBA-78095C0281DA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5E69-4FA2-8BBA-78095C0281DA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5E69-4FA2-8BBA-78095C0281DA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5E69-4FA2-8BBA-78095C0281DA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5E69-4FA2-8BBA-78095C0281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'2'!$H$13:$H$26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5E69-4FA2-8BBA-78095C028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'2'!$B$12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8E7-48DE-9226-303158D0888C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8E7-48DE-9226-303158D0888C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8E7-48DE-9226-303158D0888C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8E7-48DE-9226-303158D0888C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8E7-48DE-9226-303158D0888C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8E7-48DE-9226-303158D0888C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8E7-48DE-9226-303158D0888C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8E7-48DE-9226-303158D0888C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8E7-48DE-9226-303158D0888C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8E7-48DE-9226-303158D0888C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8E7-48DE-9226-303158D0888C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8E7-48DE-9226-303158D0888C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8E7-48DE-9226-303158D0888C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8E7-48DE-9226-303158D0888C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E7-48DE-9226-303158D0888C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8E7-48DE-9226-303158D0888C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E7-48DE-9226-303158D0888C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8E7-48DE-9226-303158D0888C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E7-48DE-9226-303158D088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'2'!$B$13:$B$26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8E7-48DE-9226-303158D0888C}"/>
            </c:ext>
          </c:extLst>
        </c:ser>
        <c:ser>
          <c:idx val="1"/>
          <c:order val="1"/>
          <c:tx>
            <c:strRef>
              <c:f>'2'!$C$12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98E7-48DE-9226-303158D0888C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98E7-48DE-9226-303158D0888C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98E7-48DE-9226-303158D0888C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98E7-48DE-9226-303158D0888C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98E7-48DE-9226-303158D0888C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98E7-48DE-9226-303158D0888C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98E7-48DE-9226-303158D0888C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98E7-48DE-9226-303158D0888C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98E7-48DE-9226-303158D0888C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98E7-48DE-9226-303158D0888C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98E7-48DE-9226-303158D0888C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98E7-48DE-9226-303158D0888C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98E7-48DE-9226-303158D0888C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98E7-48DE-9226-303158D0888C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98E7-48DE-9226-303158D0888C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98E7-48DE-9226-303158D0888C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98E7-48DE-9226-303158D0888C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98E7-48DE-9226-303158D0888C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98E7-48DE-9226-303158D0888C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98E7-48DE-9226-303158D088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'2'!$C$13:$C$26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98E7-48DE-9226-303158D0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'3'!$B$5:$B$7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18-4243-98ED-B4B567D6CC95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'3'!$C$5:$C$7</c:f>
              <c:numCache>
                <c:formatCode>_-* #,##0.00\ [$zł-415]_-;\-* #,##0.00\ [$zł-415]_-;_-* "-"??\ [$zł-415]_-;_-@_-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18-4243-98ED-B4B567D6C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'3'!$G$12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7B-4A29-A65F-9A6C25884AD3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7B-4A29-A65F-9A6C25884AD3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7B-4A29-A65F-9A6C25884AD3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7B-4A29-A65F-9A6C25884AD3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7B-4A29-A65F-9A6C25884AD3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7B-4A29-A65F-9A6C25884AD3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7B-4A29-A65F-9A6C25884AD3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7B-4A29-A65F-9A6C25884AD3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7B-4A29-A65F-9A6C25884AD3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7B-4A29-A65F-9A6C25884AD3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7B-4A29-A65F-9A6C25884AD3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7B-4A29-A65F-9A6C25884AD3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7B-4A29-A65F-9A6C25884AD3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7B-4A29-A65F-9A6C25884AD3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07B-4A29-A65F-9A6C25884AD3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07B-4A29-A65F-9A6C25884AD3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07B-4A29-A65F-9A6C25884AD3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07B-4A29-A65F-9A6C25884AD3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07B-4A29-A65F-9A6C25884AD3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07B-4A29-A65F-9A6C25884AD3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07B-4A29-A65F-9A6C25884AD3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07B-4A29-A65F-9A6C25884AD3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07B-4A29-A65F-9A6C25884A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'3'!$G$13:$G$26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07B-4A29-A65F-9A6C25884AD3}"/>
            </c:ext>
          </c:extLst>
        </c:ser>
        <c:ser>
          <c:idx val="1"/>
          <c:order val="1"/>
          <c:tx>
            <c:strRef>
              <c:f>'3'!$H$12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B07B-4A29-A65F-9A6C25884AD3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B07B-4A29-A65F-9A6C25884AD3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B07B-4A29-A65F-9A6C25884AD3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B07B-4A29-A65F-9A6C25884AD3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B07B-4A29-A65F-9A6C25884AD3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B07B-4A29-A65F-9A6C25884AD3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B07B-4A29-A65F-9A6C25884AD3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B07B-4A29-A65F-9A6C25884AD3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B07B-4A29-A65F-9A6C25884AD3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B07B-4A29-A65F-9A6C25884AD3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B07B-4A29-A65F-9A6C25884AD3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B07B-4A29-A65F-9A6C25884AD3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B07B-4A29-A65F-9A6C25884AD3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B07B-4A29-A65F-9A6C25884AD3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07B-4A29-A65F-9A6C25884AD3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B07B-4A29-A65F-9A6C25884AD3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B07B-4A29-A65F-9A6C25884AD3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B07B-4A29-A65F-9A6C25884AD3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B07B-4A29-A65F-9A6C25884AD3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B07B-4A29-A65F-9A6C25884AD3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B07B-4A29-A65F-9A6C25884AD3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B07B-4A29-A65F-9A6C25884AD3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B07B-4A29-A65F-9A6C25884A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'3'!$H$13:$H$26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B07B-4A29-A65F-9A6C25884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'3'!$B$12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39A-4956-9492-0EA3D78EF560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39A-4956-9492-0EA3D78EF560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39A-4956-9492-0EA3D78EF560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39A-4956-9492-0EA3D78EF560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39A-4956-9492-0EA3D78EF560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39A-4956-9492-0EA3D78EF560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39A-4956-9492-0EA3D78EF560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39A-4956-9492-0EA3D78EF560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39A-4956-9492-0EA3D78EF560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39A-4956-9492-0EA3D78EF560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39A-4956-9492-0EA3D78EF560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39A-4956-9492-0EA3D78EF560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39A-4956-9492-0EA3D78EF560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39A-4956-9492-0EA3D78EF560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39A-4956-9492-0EA3D78EF560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9A-4956-9492-0EA3D78EF560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39A-4956-9492-0EA3D78EF560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39A-4956-9492-0EA3D78EF560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39A-4956-9492-0EA3D78EF5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'3'!$B$13:$B$26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39A-4956-9492-0EA3D78EF560}"/>
            </c:ext>
          </c:extLst>
        </c:ser>
        <c:ser>
          <c:idx val="1"/>
          <c:order val="1"/>
          <c:tx>
            <c:strRef>
              <c:f>'3'!$C$12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D39A-4956-9492-0EA3D78EF560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D39A-4956-9492-0EA3D78EF560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D39A-4956-9492-0EA3D78EF560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D39A-4956-9492-0EA3D78EF560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D39A-4956-9492-0EA3D78EF560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D39A-4956-9492-0EA3D78EF560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D39A-4956-9492-0EA3D78EF560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D39A-4956-9492-0EA3D78EF560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D39A-4956-9492-0EA3D78EF560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D39A-4956-9492-0EA3D78EF560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D39A-4956-9492-0EA3D78EF560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D39A-4956-9492-0EA3D78EF560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D39A-4956-9492-0EA3D78EF560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D39A-4956-9492-0EA3D78EF560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39A-4956-9492-0EA3D78EF560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39A-4956-9492-0EA3D78EF560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39A-4956-9492-0EA3D78EF560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39A-4956-9492-0EA3D78EF560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D39A-4956-9492-0EA3D78EF560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D39A-4956-9492-0EA3D78EF5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'3'!$C$13:$C$26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D39A-4956-9492-0EA3D78EF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'4'!$B$5:$B$7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7B-4399-8BEC-B8CBF3E4FA97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'4'!$C$5:$C$7</c:f>
              <c:numCache>
                <c:formatCode>_-* #,##0.00\ [$zł-415]_-;\-* #,##0.00\ [$zł-415]_-;_-* "-"??\ [$zł-415]_-;_-@_-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7B-4399-8BEC-B8CBF3E4F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'4'!$G$12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B7-4D00-90C8-00010034E577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B7-4D00-90C8-00010034E577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CB7-4D00-90C8-00010034E577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CB7-4D00-90C8-00010034E577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CB7-4D00-90C8-00010034E577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CB7-4D00-90C8-00010034E577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CB7-4D00-90C8-00010034E577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CB7-4D00-90C8-00010034E577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CB7-4D00-90C8-00010034E577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CB7-4D00-90C8-00010034E577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CB7-4D00-90C8-00010034E577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CB7-4D00-90C8-00010034E577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CB7-4D00-90C8-00010034E577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CB7-4D00-90C8-00010034E577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B7-4D00-90C8-00010034E577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B7-4D00-90C8-00010034E577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B7-4D00-90C8-00010034E577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CB7-4D00-90C8-00010034E577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B7-4D00-90C8-00010034E577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B7-4D00-90C8-00010034E577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B7-4D00-90C8-00010034E577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B7-4D00-90C8-00010034E577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CB7-4D00-90C8-00010034E5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'4'!$G$13:$G$26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CB7-4D00-90C8-00010034E577}"/>
            </c:ext>
          </c:extLst>
        </c:ser>
        <c:ser>
          <c:idx val="1"/>
          <c:order val="1"/>
          <c:tx>
            <c:strRef>
              <c:f>'4'!$H$12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0CB7-4D00-90C8-00010034E577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0CB7-4D00-90C8-00010034E577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0CB7-4D00-90C8-00010034E577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0CB7-4D00-90C8-00010034E577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0CB7-4D00-90C8-00010034E577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0CB7-4D00-90C8-00010034E577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0CB7-4D00-90C8-00010034E577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0CB7-4D00-90C8-00010034E577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0CB7-4D00-90C8-00010034E577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0CB7-4D00-90C8-00010034E577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0CB7-4D00-90C8-00010034E577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0CB7-4D00-90C8-00010034E577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0CB7-4D00-90C8-00010034E577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0CB7-4D00-90C8-00010034E577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0CB7-4D00-90C8-00010034E577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0CB7-4D00-90C8-00010034E577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0CB7-4D00-90C8-00010034E577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0CB7-4D00-90C8-00010034E577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0CB7-4D00-90C8-00010034E577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0CB7-4D00-90C8-00010034E577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0CB7-4D00-90C8-00010034E577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0CB7-4D00-90C8-00010034E577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0CB7-4D00-90C8-00010034E5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'4'!$H$13:$H$26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0CB7-4D00-90C8-00010034E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'4'!$B$12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592-4DFA-A1EA-48FC38DD3F6F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592-4DFA-A1EA-48FC38DD3F6F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592-4DFA-A1EA-48FC38DD3F6F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592-4DFA-A1EA-48FC38DD3F6F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592-4DFA-A1EA-48FC38DD3F6F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592-4DFA-A1EA-48FC38DD3F6F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592-4DFA-A1EA-48FC38DD3F6F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592-4DFA-A1EA-48FC38DD3F6F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592-4DFA-A1EA-48FC38DD3F6F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592-4DFA-A1EA-48FC38DD3F6F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592-4DFA-A1EA-48FC38DD3F6F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592-4DFA-A1EA-48FC38DD3F6F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592-4DFA-A1EA-48FC38DD3F6F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592-4DFA-A1EA-48FC38DD3F6F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92-4DFA-A1EA-48FC38DD3F6F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592-4DFA-A1EA-48FC38DD3F6F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92-4DFA-A1EA-48FC38DD3F6F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592-4DFA-A1EA-48FC38DD3F6F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92-4DFA-A1EA-48FC38DD3F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'4'!$B$13:$B$26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592-4DFA-A1EA-48FC38DD3F6F}"/>
            </c:ext>
          </c:extLst>
        </c:ser>
        <c:ser>
          <c:idx val="1"/>
          <c:order val="1"/>
          <c:tx>
            <c:strRef>
              <c:f>'4'!$C$12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7592-4DFA-A1EA-48FC38DD3F6F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7592-4DFA-A1EA-48FC38DD3F6F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7592-4DFA-A1EA-48FC38DD3F6F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7592-4DFA-A1EA-48FC38DD3F6F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7592-4DFA-A1EA-48FC38DD3F6F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7592-4DFA-A1EA-48FC38DD3F6F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7592-4DFA-A1EA-48FC38DD3F6F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7592-4DFA-A1EA-48FC38DD3F6F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7592-4DFA-A1EA-48FC38DD3F6F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7592-4DFA-A1EA-48FC38DD3F6F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7592-4DFA-A1EA-48FC38DD3F6F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7592-4DFA-A1EA-48FC38DD3F6F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7592-4DFA-A1EA-48FC38DD3F6F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7592-4DFA-A1EA-48FC38DD3F6F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592-4DFA-A1EA-48FC38DD3F6F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592-4DFA-A1EA-48FC38DD3F6F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7592-4DFA-A1EA-48FC38DD3F6F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7592-4DFA-A1EA-48FC38DD3F6F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7592-4DFA-A1EA-48FC38DD3F6F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7592-4DFA-A1EA-48FC38DD3F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'4'!$C$13:$C$26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7592-4DFA-A1EA-48FC38DD3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'5'!$B$5:$B$7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E-4A64-AF86-9F1E0005F5DE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'5'!$C$5:$C$7</c:f>
              <c:numCache>
                <c:formatCode>_-* #,##0.00\ [$zł-415]_-;\-* #,##0.00\ [$zł-415]_-;_-* "-"??\ [$zł-415]_-;_-@_-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5E-4A64-AF86-9F1E0005F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'5'!$G$12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D1-4C6B-B7D9-B7030F79FBE9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D1-4C6B-B7D9-B7030F79FBE9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5D1-4C6B-B7D9-B7030F79FBE9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5D1-4C6B-B7D9-B7030F79FBE9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5D1-4C6B-B7D9-B7030F79FBE9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5D1-4C6B-B7D9-B7030F79FBE9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5D1-4C6B-B7D9-B7030F79FBE9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5D1-4C6B-B7D9-B7030F79FBE9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5D1-4C6B-B7D9-B7030F79FBE9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5D1-4C6B-B7D9-B7030F79FBE9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5D1-4C6B-B7D9-B7030F79FBE9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5D1-4C6B-B7D9-B7030F79FBE9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5D1-4C6B-B7D9-B7030F79FBE9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5D1-4C6B-B7D9-B7030F79FBE9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D1-4C6B-B7D9-B7030F79FBE9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D1-4C6B-B7D9-B7030F79FBE9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5D1-4C6B-B7D9-B7030F79FBE9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D1-4C6B-B7D9-B7030F79FBE9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5D1-4C6B-B7D9-B7030F79FBE9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5D1-4C6B-B7D9-B7030F79FBE9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5D1-4C6B-B7D9-B7030F79FBE9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5D1-4C6B-B7D9-B7030F79FBE9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5D1-4C6B-B7D9-B7030F79FB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'5'!$G$13:$G$26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5D1-4C6B-B7D9-B7030F79FBE9}"/>
            </c:ext>
          </c:extLst>
        </c:ser>
        <c:ser>
          <c:idx val="1"/>
          <c:order val="1"/>
          <c:tx>
            <c:strRef>
              <c:f>'5'!$H$12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95D1-4C6B-B7D9-B7030F79FBE9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95D1-4C6B-B7D9-B7030F79FBE9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95D1-4C6B-B7D9-B7030F79FBE9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95D1-4C6B-B7D9-B7030F79FBE9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95D1-4C6B-B7D9-B7030F79FBE9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95D1-4C6B-B7D9-B7030F79FBE9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95D1-4C6B-B7D9-B7030F79FBE9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95D1-4C6B-B7D9-B7030F79FBE9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95D1-4C6B-B7D9-B7030F79FBE9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95D1-4C6B-B7D9-B7030F79FBE9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95D1-4C6B-B7D9-B7030F79FBE9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95D1-4C6B-B7D9-B7030F79FBE9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95D1-4C6B-B7D9-B7030F79FBE9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95D1-4C6B-B7D9-B7030F79FBE9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95D1-4C6B-B7D9-B7030F79FBE9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95D1-4C6B-B7D9-B7030F79FBE9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95D1-4C6B-B7D9-B7030F79FBE9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95D1-4C6B-B7D9-B7030F79FBE9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95D1-4C6B-B7D9-B7030F79FBE9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95D1-4C6B-B7D9-B7030F79FBE9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95D1-4C6B-B7D9-B7030F79FBE9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95D1-4C6B-B7D9-B7030F79FBE9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95D1-4C6B-B7D9-B7030F79FB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'5'!$H$13:$H$26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95D1-4C6B-B7D9-B7030F79F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'5'!$B$12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0F-4BF6-A9B3-DBB375813AFE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0F-4BF6-A9B3-DBB375813AFE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0F-4BF6-A9B3-DBB375813AFE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0F-4BF6-A9B3-DBB375813AFE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A0F-4BF6-A9B3-DBB375813AFE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A0F-4BF6-A9B3-DBB375813AFE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A0F-4BF6-A9B3-DBB375813AFE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A0F-4BF6-A9B3-DBB375813AFE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A0F-4BF6-A9B3-DBB375813AFE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A0F-4BF6-A9B3-DBB375813AFE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A0F-4BF6-A9B3-DBB375813AFE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A0F-4BF6-A9B3-DBB375813AFE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A0F-4BF6-A9B3-DBB375813AFE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A0F-4BF6-A9B3-DBB375813AFE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0F-4BF6-A9B3-DBB375813AFE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A0F-4BF6-A9B3-DBB375813AFE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0F-4BF6-A9B3-DBB375813AFE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0F-4BF6-A9B3-DBB375813AFE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0F-4BF6-A9B3-DBB375813A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'5'!$B$13:$B$26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A0F-4BF6-A9B3-DBB375813AFE}"/>
            </c:ext>
          </c:extLst>
        </c:ser>
        <c:ser>
          <c:idx val="1"/>
          <c:order val="1"/>
          <c:tx>
            <c:strRef>
              <c:f>'5'!$C$12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CA0F-4BF6-A9B3-DBB375813AFE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CA0F-4BF6-A9B3-DBB375813AFE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CA0F-4BF6-A9B3-DBB375813AFE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CA0F-4BF6-A9B3-DBB375813AFE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CA0F-4BF6-A9B3-DBB375813AFE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CA0F-4BF6-A9B3-DBB375813AFE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CA0F-4BF6-A9B3-DBB375813AFE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CA0F-4BF6-A9B3-DBB375813AFE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CA0F-4BF6-A9B3-DBB375813AFE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CA0F-4BF6-A9B3-DBB375813AFE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CA0F-4BF6-A9B3-DBB375813AFE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CA0F-4BF6-A9B3-DBB375813AFE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CA0F-4BF6-A9B3-DBB375813AFE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CA0F-4BF6-A9B3-DBB375813AFE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A0F-4BF6-A9B3-DBB375813AFE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A0F-4BF6-A9B3-DBB375813AFE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A0F-4BF6-A9B3-DBB375813AFE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A0F-4BF6-A9B3-DBB375813AFE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A0F-4BF6-A9B3-DBB375813AFE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A0F-4BF6-A9B3-DBB375813A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'5'!$C$13:$C$26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CA0F-4BF6-A9B3-DBB375813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'6'!$B$5:$B$7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A7-4A32-A105-74F9F580A630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'6'!$C$5:$C$7</c:f>
              <c:numCache>
                <c:formatCode>_-* #,##0.00\ [$zł-415]_-;\-* #,##0.00\ [$zł-415]_-;_-* "-"??\ [$zł-415]_-;_-@_-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A7-4A32-A105-74F9F580A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'6'!$G$12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02-4C2E-81C2-2C0BE058806D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02-4C2E-81C2-2C0BE058806D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002-4C2E-81C2-2C0BE058806D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002-4C2E-81C2-2C0BE058806D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002-4C2E-81C2-2C0BE058806D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002-4C2E-81C2-2C0BE058806D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002-4C2E-81C2-2C0BE058806D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002-4C2E-81C2-2C0BE058806D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002-4C2E-81C2-2C0BE058806D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002-4C2E-81C2-2C0BE058806D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002-4C2E-81C2-2C0BE058806D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002-4C2E-81C2-2C0BE058806D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002-4C2E-81C2-2C0BE058806D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002-4C2E-81C2-2C0BE058806D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02-4C2E-81C2-2C0BE058806D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02-4C2E-81C2-2C0BE058806D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002-4C2E-81C2-2C0BE058806D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02-4C2E-81C2-2C0BE058806D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02-4C2E-81C2-2C0BE058806D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02-4C2E-81C2-2C0BE058806D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002-4C2E-81C2-2C0BE058806D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002-4C2E-81C2-2C0BE058806D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002-4C2E-81C2-2C0BE05880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'6'!$G$13:$G$26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002-4C2E-81C2-2C0BE058806D}"/>
            </c:ext>
          </c:extLst>
        </c:ser>
        <c:ser>
          <c:idx val="1"/>
          <c:order val="1"/>
          <c:tx>
            <c:strRef>
              <c:f>'6'!$H$12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6002-4C2E-81C2-2C0BE058806D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6002-4C2E-81C2-2C0BE058806D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6002-4C2E-81C2-2C0BE058806D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6002-4C2E-81C2-2C0BE058806D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6002-4C2E-81C2-2C0BE058806D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6002-4C2E-81C2-2C0BE058806D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6002-4C2E-81C2-2C0BE058806D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6002-4C2E-81C2-2C0BE058806D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6002-4C2E-81C2-2C0BE058806D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6002-4C2E-81C2-2C0BE058806D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6002-4C2E-81C2-2C0BE058806D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6002-4C2E-81C2-2C0BE058806D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6002-4C2E-81C2-2C0BE058806D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6002-4C2E-81C2-2C0BE058806D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002-4C2E-81C2-2C0BE058806D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002-4C2E-81C2-2C0BE058806D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002-4C2E-81C2-2C0BE058806D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002-4C2E-81C2-2C0BE058806D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002-4C2E-81C2-2C0BE058806D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002-4C2E-81C2-2C0BE058806D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002-4C2E-81C2-2C0BE058806D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002-4C2E-81C2-2C0BE058806D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6002-4C2E-81C2-2C0BE05880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'6'!$H$13:$H$26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6002-4C2E-81C2-2C0BE0588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'6'!$B$12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8C-450B-A310-373C8614D110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8C-450B-A310-373C8614D110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8C-450B-A310-373C8614D110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E8C-450B-A310-373C8614D110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E8C-450B-A310-373C8614D110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E8C-450B-A310-373C8614D110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E8C-450B-A310-373C8614D110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E8C-450B-A310-373C8614D110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E8C-450B-A310-373C8614D110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E8C-450B-A310-373C8614D110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E8C-450B-A310-373C8614D110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E8C-450B-A310-373C8614D110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E8C-450B-A310-373C8614D110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E8C-450B-A310-373C8614D110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8C-450B-A310-373C8614D110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E8C-450B-A310-373C8614D110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E8C-450B-A310-373C8614D110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E8C-450B-A310-373C8614D110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E8C-450B-A310-373C8614D1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'6'!$B$13:$B$26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E8C-450B-A310-373C8614D110}"/>
            </c:ext>
          </c:extLst>
        </c:ser>
        <c:ser>
          <c:idx val="1"/>
          <c:order val="1"/>
          <c:tx>
            <c:strRef>
              <c:f>'6'!$C$12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0E8C-450B-A310-373C8614D110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0E8C-450B-A310-373C8614D110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0E8C-450B-A310-373C8614D110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0E8C-450B-A310-373C8614D110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0E8C-450B-A310-373C8614D110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0E8C-450B-A310-373C8614D110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0E8C-450B-A310-373C8614D110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0E8C-450B-A310-373C8614D110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0E8C-450B-A310-373C8614D110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0E8C-450B-A310-373C8614D110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0E8C-450B-A310-373C8614D110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0E8C-450B-A310-373C8614D110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0E8C-450B-A310-373C8614D110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0E8C-450B-A310-373C8614D110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0E8C-450B-A310-373C8614D110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0E8C-450B-A310-373C8614D110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0E8C-450B-A310-373C8614D110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0E8C-450B-A310-373C8614D110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0E8C-450B-A310-373C8614D110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0E8C-450B-A310-373C8614D1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'6'!$C$13:$C$26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0E8C-450B-A310-373C8614D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'7'!$B$5:$B$7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54-4EDF-B126-F3D89449FE2E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'7'!$C$5:$C$7</c:f>
              <c:numCache>
                <c:formatCode>_-* #,##0.00\ [$zł-415]_-;\-* #,##0.00\ [$zł-415]_-;_-* "-"??\ [$zł-415]_-;_-@_-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54-4EDF-B126-F3D89449F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'7'!$G$12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89-4431-9CC9-E2C177B8378D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89-4431-9CC9-E2C177B8378D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89-4431-9CC9-E2C177B8378D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89-4431-9CC9-E2C177B8378D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989-4431-9CC9-E2C177B8378D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989-4431-9CC9-E2C177B8378D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989-4431-9CC9-E2C177B8378D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989-4431-9CC9-E2C177B8378D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989-4431-9CC9-E2C177B8378D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989-4431-9CC9-E2C177B8378D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989-4431-9CC9-E2C177B8378D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989-4431-9CC9-E2C177B8378D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989-4431-9CC9-E2C177B8378D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989-4431-9CC9-E2C177B8378D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89-4431-9CC9-E2C177B8378D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89-4431-9CC9-E2C177B8378D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89-4431-9CC9-E2C177B8378D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89-4431-9CC9-E2C177B8378D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989-4431-9CC9-E2C177B8378D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89-4431-9CC9-E2C177B8378D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989-4431-9CC9-E2C177B8378D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989-4431-9CC9-E2C177B8378D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989-4431-9CC9-E2C177B837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'7'!$G$13:$G$26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989-4431-9CC9-E2C177B8378D}"/>
            </c:ext>
          </c:extLst>
        </c:ser>
        <c:ser>
          <c:idx val="1"/>
          <c:order val="1"/>
          <c:tx>
            <c:strRef>
              <c:f>'7'!$H$12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A989-4431-9CC9-E2C177B8378D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A989-4431-9CC9-E2C177B8378D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A989-4431-9CC9-E2C177B8378D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A989-4431-9CC9-E2C177B8378D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A989-4431-9CC9-E2C177B8378D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A989-4431-9CC9-E2C177B8378D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A989-4431-9CC9-E2C177B8378D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A989-4431-9CC9-E2C177B8378D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A989-4431-9CC9-E2C177B8378D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A989-4431-9CC9-E2C177B8378D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A989-4431-9CC9-E2C177B8378D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A989-4431-9CC9-E2C177B8378D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A989-4431-9CC9-E2C177B8378D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A989-4431-9CC9-E2C177B8378D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989-4431-9CC9-E2C177B8378D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989-4431-9CC9-E2C177B8378D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989-4431-9CC9-E2C177B8378D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989-4431-9CC9-E2C177B8378D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989-4431-9CC9-E2C177B8378D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989-4431-9CC9-E2C177B8378D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989-4431-9CC9-E2C177B8378D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989-4431-9CC9-E2C177B8378D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989-4431-9CC9-E2C177B837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'7'!$H$13:$H$26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989-4431-9CC9-E2C177B83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'7'!$B$12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67-4E49-9FAB-2E9E86153CC7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67-4E49-9FAB-2E9E86153CC7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67-4E49-9FAB-2E9E86153CC7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167-4E49-9FAB-2E9E86153CC7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167-4E49-9FAB-2E9E86153CC7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167-4E49-9FAB-2E9E86153CC7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167-4E49-9FAB-2E9E86153CC7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167-4E49-9FAB-2E9E86153CC7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167-4E49-9FAB-2E9E86153CC7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167-4E49-9FAB-2E9E86153CC7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167-4E49-9FAB-2E9E86153CC7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167-4E49-9FAB-2E9E86153CC7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167-4E49-9FAB-2E9E86153CC7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167-4E49-9FAB-2E9E86153CC7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67-4E49-9FAB-2E9E86153CC7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167-4E49-9FAB-2E9E86153CC7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67-4E49-9FAB-2E9E86153CC7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167-4E49-9FAB-2E9E86153CC7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67-4E49-9FAB-2E9E86153C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'7'!$B$13:$B$26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167-4E49-9FAB-2E9E86153CC7}"/>
            </c:ext>
          </c:extLst>
        </c:ser>
        <c:ser>
          <c:idx val="1"/>
          <c:order val="1"/>
          <c:tx>
            <c:strRef>
              <c:f>'7'!$C$12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E167-4E49-9FAB-2E9E86153CC7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E167-4E49-9FAB-2E9E86153CC7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E167-4E49-9FAB-2E9E86153CC7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E167-4E49-9FAB-2E9E86153CC7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E167-4E49-9FAB-2E9E86153CC7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E167-4E49-9FAB-2E9E86153CC7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E167-4E49-9FAB-2E9E86153CC7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E167-4E49-9FAB-2E9E86153CC7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E167-4E49-9FAB-2E9E86153CC7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E167-4E49-9FAB-2E9E86153CC7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E167-4E49-9FAB-2E9E86153CC7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E167-4E49-9FAB-2E9E86153CC7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E167-4E49-9FAB-2E9E86153CC7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E167-4E49-9FAB-2E9E86153CC7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167-4E49-9FAB-2E9E86153CC7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167-4E49-9FAB-2E9E86153CC7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167-4E49-9FAB-2E9E86153CC7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167-4E49-9FAB-2E9E86153CC7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167-4E49-9FAB-2E9E86153CC7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167-4E49-9FAB-2E9E86153C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'7'!$C$13:$C$26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E167-4E49-9FAB-2E9E86153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'8'!$B$5:$B$7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30-4031-A812-1E709E939E11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'8'!$C$5:$C$7</c:f>
              <c:numCache>
                <c:formatCode>_-* #,##0.00\ [$zł-415]_-;\-* #,##0.00\ [$zł-415]_-;_-* "-"??\ [$zł-415]_-;_-@_-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30-4031-A812-1E709E939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'8'!$G$12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99-452F-BC40-50C106640BB8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99-452F-BC40-50C106640BB8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99-452F-BC40-50C106640BB8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E99-452F-BC40-50C106640BB8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E99-452F-BC40-50C106640BB8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E99-452F-BC40-50C106640BB8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E99-452F-BC40-50C106640BB8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E99-452F-BC40-50C106640BB8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E99-452F-BC40-50C106640BB8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E99-452F-BC40-50C106640BB8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E99-452F-BC40-50C106640BB8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E99-452F-BC40-50C106640BB8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E99-452F-BC40-50C106640BB8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E99-452F-BC40-50C106640BB8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99-452F-BC40-50C106640BB8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99-452F-BC40-50C106640BB8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E99-452F-BC40-50C106640BB8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E99-452F-BC40-50C106640BB8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E99-452F-BC40-50C106640BB8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E99-452F-BC40-50C106640BB8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E99-452F-BC40-50C106640BB8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E99-452F-BC40-50C106640BB8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E99-452F-BC40-50C106640B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'8'!$G$13:$G$26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E99-452F-BC40-50C106640BB8}"/>
            </c:ext>
          </c:extLst>
        </c:ser>
        <c:ser>
          <c:idx val="1"/>
          <c:order val="1"/>
          <c:tx>
            <c:strRef>
              <c:f>'8'!$H$12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0E99-452F-BC40-50C106640BB8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0E99-452F-BC40-50C106640BB8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0E99-452F-BC40-50C106640BB8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0E99-452F-BC40-50C106640BB8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0E99-452F-BC40-50C106640BB8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0E99-452F-BC40-50C106640BB8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0E99-452F-BC40-50C106640BB8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0E99-452F-BC40-50C106640BB8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0E99-452F-BC40-50C106640BB8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0E99-452F-BC40-50C106640BB8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0E99-452F-BC40-50C106640BB8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0E99-452F-BC40-50C106640BB8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0E99-452F-BC40-50C106640BB8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0E99-452F-BC40-50C106640BB8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0E99-452F-BC40-50C106640BB8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0E99-452F-BC40-50C106640BB8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0E99-452F-BC40-50C106640BB8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0E99-452F-BC40-50C106640BB8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0E99-452F-BC40-50C106640BB8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0E99-452F-BC40-50C106640BB8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0E99-452F-BC40-50C106640BB8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0E99-452F-BC40-50C106640BB8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0E99-452F-BC40-50C106640B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'8'!$H$13:$H$26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0E99-452F-BC40-50C106640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'8'!$B$12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91-4313-BD7B-72249AF4AE64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91-4313-BD7B-72249AF4AE64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91-4313-BD7B-72249AF4AE64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91-4313-BD7B-72249AF4AE64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A91-4313-BD7B-72249AF4AE64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A91-4313-BD7B-72249AF4AE64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A91-4313-BD7B-72249AF4AE64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A91-4313-BD7B-72249AF4AE64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A91-4313-BD7B-72249AF4AE64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A91-4313-BD7B-72249AF4AE64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A91-4313-BD7B-72249AF4AE64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A91-4313-BD7B-72249AF4AE64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A91-4313-BD7B-72249AF4AE64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A91-4313-BD7B-72249AF4AE64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91-4313-BD7B-72249AF4AE64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A91-4313-BD7B-72249AF4AE64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91-4313-BD7B-72249AF4AE64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A91-4313-BD7B-72249AF4AE64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91-4313-BD7B-72249AF4AE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'8'!$B$13:$B$26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A91-4313-BD7B-72249AF4AE64}"/>
            </c:ext>
          </c:extLst>
        </c:ser>
        <c:ser>
          <c:idx val="1"/>
          <c:order val="1"/>
          <c:tx>
            <c:strRef>
              <c:f>'8'!$C$12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4A91-4313-BD7B-72249AF4AE64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4A91-4313-BD7B-72249AF4AE64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4A91-4313-BD7B-72249AF4AE64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4A91-4313-BD7B-72249AF4AE64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4A91-4313-BD7B-72249AF4AE64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4A91-4313-BD7B-72249AF4AE64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4A91-4313-BD7B-72249AF4AE64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4A91-4313-BD7B-72249AF4AE64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4A91-4313-BD7B-72249AF4AE64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4A91-4313-BD7B-72249AF4AE64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4A91-4313-BD7B-72249AF4AE64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4A91-4313-BD7B-72249AF4AE64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4A91-4313-BD7B-72249AF4AE64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4A91-4313-BD7B-72249AF4AE64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A91-4313-BD7B-72249AF4AE64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A91-4313-BD7B-72249AF4AE64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A91-4313-BD7B-72249AF4AE64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A91-4313-BD7B-72249AF4AE64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A91-4313-BD7B-72249AF4AE64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A91-4313-BD7B-72249AF4AE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'8'!$C$13:$C$26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A91-4313-BD7B-72249AF4A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'9'!$B$5:$B$7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26-496F-ABD6-4F66C7E6A2FF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'9'!$C$5:$C$7</c:f>
              <c:numCache>
                <c:formatCode>_-* #,##0.00\ [$zł-415]_-;\-* #,##0.00\ [$zł-415]_-;_-* "-"??\ [$zł-415]_-;_-@_-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26-496F-ABD6-4F66C7E6A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'9'!$G$12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5F-4488-86BA-A308125BAD9A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E5F-4488-86BA-A308125BAD9A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E5F-4488-86BA-A308125BAD9A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E5F-4488-86BA-A308125BAD9A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E5F-4488-86BA-A308125BAD9A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E5F-4488-86BA-A308125BAD9A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E5F-4488-86BA-A308125BAD9A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E5F-4488-86BA-A308125BAD9A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E5F-4488-86BA-A308125BAD9A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E5F-4488-86BA-A308125BAD9A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E5F-4488-86BA-A308125BAD9A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E5F-4488-86BA-A308125BAD9A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E5F-4488-86BA-A308125BAD9A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E5F-4488-86BA-A308125BAD9A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E5F-4488-86BA-A308125BAD9A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5F-4488-86BA-A308125BAD9A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E5F-4488-86BA-A308125BAD9A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5F-4488-86BA-A308125BAD9A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E5F-4488-86BA-A308125BAD9A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5F-4488-86BA-A308125BAD9A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E5F-4488-86BA-A308125BAD9A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E5F-4488-86BA-A308125BAD9A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E5F-4488-86BA-A308125BAD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'9'!$G$13:$G$26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E5F-4488-86BA-A308125BAD9A}"/>
            </c:ext>
          </c:extLst>
        </c:ser>
        <c:ser>
          <c:idx val="1"/>
          <c:order val="1"/>
          <c:tx>
            <c:strRef>
              <c:f>'9'!$H$12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9E5F-4488-86BA-A308125BAD9A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9E5F-4488-86BA-A308125BAD9A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9E5F-4488-86BA-A308125BAD9A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9E5F-4488-86BA-A308125BAD9A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9E5F-4488-86BA-A308125BAD9A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9E5F-4488-86BA-A308125BAD9A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9E5F-4488-86BA-A308125BAD9A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9E5F-4488-86BA-A308125BAD9A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9E5F-4488-86BA-A308125BAD9A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9E5F-4488-86BA-A308125BAD9A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9E5F-4488-86BA-A308125BAD9A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9E5F-4488-86BA-A308125BAD9A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9E5F-4488-86BA-A308125BAD9A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9E5F-4488-86BA-A308125BAD9A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9E5F-4488-86BA-A308125BAD9A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9E5F-4488-86BA-A308125BAD9A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9E5F-4488-86BA-A308125BAD9A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9E5F-4488-86BA-A308125BAD9A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9E5F-4488-86BA-A308125BAD9A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9E5F-4488-86BA-A308125BAD9A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9E5F-4488-86BA-A308125BAD9A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9E5F-4488-86BA-A308125BAD9A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9E5F-4488-86BA-A308125BAD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'9'!$H$13:$H$26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9E5F-4488-86BA-A308125BA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'9'!$B$12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A7A-462F-9B5C-AA2CCDE9C7AA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7A-462F-9B5C-AA2CCDE9C7AA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A7A-462F-9B5C-AA2CCDE9C7AA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A7A-462F-9B5C-AA2CCDE9C7AA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A7A-462F-9B5C-AA2CCDE9C7AA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A7A-462F-9B5C-AA2CCDE9C7AA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A7A-462F-9B5C-AA2CCDE9C7AA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A7A-462F-9B5C-AA2CCDE9C7AA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A7A-462F-9B5C-AA2CCDE9C7AA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A7A-462F-9B5C-AA2CCDE9C7AA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A7A-462F-9B5C-AA2CCDE9C7AA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A7A-462F-9B5C-AA2CCDE9C7AA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A7A-462F-9B5C-AA2CCDE9C7AA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A7A-462F-9B5C-AA2CCDE9C7AA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7A-462F-9B5C-AA2CCDE9C7AA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A7A-462F-9B5C-AA2CCDE9C7AA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A7A-462F-9B5C-AA2CCDE9C7AA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A7A-462F-9B5C-AA2CCDE9C7AA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A7A-462F-9B5C-AA2CCDE9C7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'9'!$B$13:$B$26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A7A-462F-9B5C-AA2CCDE9C7AA}"/>
            </c:ext>
          </c:extLst>
        </c:ser>
        <c:ser>
          <c:idx val="1"/>
          <c:order val="1"/>
          <c:tx>
            <c:strRef>
              <c:f>'9'!$C$12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EA7A-462F-9B5C-AA2CCDE9C7AA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EA7A-462F-9B5C-AA2CCDE9C7AA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EA7A-462F-9B5C-AA2CCDE9C7AA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EA7A-462F-9B5C-AA2CCDE9C7AA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EA7A-462F-9B5C-AA2CCDE9C7AA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EA7A-462F-9B5C-AA2CCDE9C7AA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EA7A-462F-9B5C-AA2CCDE9C7AA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EA7A-462F-9B5C-AA2CCDE9C7AA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EA7A-462F-9B5C-AA2CCDE9C7AA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EA7A-462F-9B5C-AA2CCDE9C7AA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EA7A-462F-9B5C-AA2CCDE9C7AA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EA7A-462F-9B5C-AA2CCDE9C7AA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EA7A-462F-9B5C-AA2CCDE9C7AA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EA7A-462F-9B5C-AA2CCDE9C7AA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A7A-462F-9B5C-AA2CCDE9C7AA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A7A-462F-9B5C-AA2CCDE9C7AA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A7A-462F-9B5C-AA2CCDE9C7AA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A7A-462F-9B5C-AA2CCDE9C7AA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A7A-462F-9B5C-AA2CCDE9C7AA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A7A-462F-9B5C-AA2CCDE9C7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'9'!$C$13:$C$26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EA7A-462F-9B5C-AA2CCDE9C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'10'!$B$5:$B$7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1B-4E67-9712-A3DDD85D9FCA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'10'!$C$5:$C$7</c:f>
              <c:numCache>
                <c:formatCode>_-* #,##0.00\ [$zł-415]_-;\-* #,##0.00\ [$zł-415]_-;_-* "-"??\ [$zł-415]_-;_-@_-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1B-4E67-9712-A3DDD85D9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'10'!$G$12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5D-4DE3-B1B5-933B839044FA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5D-4DE3-B1B5-933B839044FA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35D-4DE3-B1B5-933B839044FA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35D-4DE3-B1B5-933B839044FA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35D-4DE3-B1B5-933B839044FA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35D-4DE3-B1B5-933B839044FA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35D-4DE3-B1B5-933B839044FA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35D-4DE3-B1B5-933B839044FA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35D-4DE3-B1B5-933B839044FA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35D-4DE3-B1B5-933B839044FA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35D-4DE3-B1B5-933B839044FA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35D-4DE3-B1B5-933B839044FA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35D-4DE3-B1B5-933B839044FA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35D-4DE3-B1B5-933B839044FA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5D-4DE3-B1B5-933B839044FA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5D-4DE3-B1B5-933B839044FA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35D-4DE3-B1B5-933B839044FA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5D-4DE3-B1B5-933B839044FA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35D-4DE3-B1B5-933B839044FA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5D-4DE3-B1B5-933B839044FA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35D-4DE3-B1B5-933B839044FA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35D-4DE3-B1B5-933B839044FA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35D-4DE3-B1B5-933B839044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'10'!$G$13:$G$26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35D-4DE3-B1B5-933B839044FA}"/>
            </c:ext>
          </c:extLst>
        </c:ser>
        <c:ser>
          <c:idx val="1"/>
          <c:order val="1"/>
          <c:tx>
            <c:strRef>
              <c:f>'10'!$H$12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C35D-4DE3-B1B5-933B839044FA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C35D-4DE3-B1B5-933B839044FA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C35D-4DE3-B1B5-933B839044FA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C35D-4DE3-B1B5-933B839044FA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C35D-4DE3-B1B5-933B839044FA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C35D-4DE3-B1B5-933B839044FA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C35D-4DE3-B1B5-933B839044FA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C35D-4DE3-B1B5-933B839044FA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C35D-4DE3-B1B5-933B839044FA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C35D-4DE3-B1B5-933B839044FA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C35D-4DE3-B1B5-933B839044FA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C35D-4DE3-B1B5-933B839044FA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C35D-4DE3-B1B5-933B839044FA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C35D-4DE3-B1B5-933B839044FA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35D-4DE3-B1B5-933B839044FA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35D-4DE3-B1B5-933B839044FA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35D-4DE3-B1B5-933B839044FA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35D-4DE3-B1B5-933B839044FA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35D-4DE3-B1B5-933B839044FA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35D-4DE3-B1B5-933B839044FA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35D-4DE3-B1B5-933B839044FA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35D-4DE3-B1B5-933B839044FA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35D-4DE3-B1B5-933B839044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'10'!$H$13:$H$26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C35D-4DE3-B1B5-933B83904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'10'!$B$12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A47-4971-B2A2-1D5458ECD650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A47-4971-B2A2-1D5458ECD650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A47-4971-B2A2-1D5458ECD650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A47-4971-B2A2-1D5458ECD650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A47-4971-B2A2-1D5458ECD650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A47-4971-B2A2-1D5458ECD650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A47-4971-B2A2-1D5458ECD650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A47-4971-B2A2-1D5458ECD650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A47-4971-B2A2-1D5458ECD650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A47-4971-B2A2-1D5458ECD650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A47-4971-B2A2-1D5458ECD650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A47-4971-B2A2-1D5458ECD650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A47-4971-B2A2-1D5458ECD650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A47-4971-B2A2-1D5458ECD650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47-4971-B2A2-1D5458ECD650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A47-4971-B2A2-1D5458ECD650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47-4971-B2A2-1D5458ECD650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A47-4971-B2A2-1D5458ECD650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47-4971-B2A2-1D5458ECD6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'10'!$B$13:$B$26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A47-4971-B2A2-1D5458ECD650}"/>
            </c:ext>
          </c:extLst>
        </c:ser>
        <c:ser>
          <c:idx val="1"/>
          <c:order val="1"/>
          <c:tx>
            <c:strRef>
              <c:f>'10'!$C$12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BA47-4971-B2A2-1D5458ECD650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BA47-4971-B2A2-1D5458ECD650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BA47-4971-B2A2-1D5458ECD650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BA47-4971-B2A2-1D5458ECD650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BA47-4971-B2A2-1D5458ECD650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BA47-4971-B2A2-1D5458ECD650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BA47-4971-B2A2-1D5458ECD650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BA47-4971-B2A2-1D5458ECD650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BA47-4971-B2A2-1D5458ECD650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BA47-4971-B2A2-1D5458ECD650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BA47-4971-B2A2-1D5458ECD650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BA47-4971-B2A2-1D5458ECD650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BA47-4971-B2A2-1D5458ECD650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BA47-4971-B2A2-1D5458ECD650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A47-4971-B2A2-1D5458ECD650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BA47-4971-B2A2-1D5458ECD650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BA47-4971-B2A2-1D5458ECD650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BA47-4971-B2A2-1D5458ECD650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BA47-4971-B2A2-1D5458ECD650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BA47-4971-B2A2-1D5458ECD6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'10'!$C$13:$C$26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BA47-4971-B2A2-1D5458ECD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'11'!$B$5:$B$7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AC-4798-B4D1-94B6A15AC464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'11'!$C$5:$C$7</c:f>
              <c:numCache>
                <c:formatCode>_-* #,##0.00\ [$zł-415]_-;\-* #,##0.00\ [$zł-415]_-;_-* "-"??\ [$zł-415]_-;_-@_-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AC-4798-B4D1-94B6A15AC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'11'!$G$12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F86-4C57-B2CC-F5E0D291B1EE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86-4C57-B2CC-F5E0D291B1EE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F86-4C57-B2CC-F5E0D291B1EE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F86-4C57-B2CC-F5E0D291B1EE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F86-4C57-B2CC-F5E0D291B1EE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F86-4C57-B2CC-F5E0D291B1EE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F86-4C57-B2CC-F5E0D291B1EE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F86-4C57-B2CC-F5E0D291B1EE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F86-4C57-B2CC-F5E0D291B1EE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F86-4C57-B2CC-F5E0D291B1EE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F86-4C57-B2CC-F5E0D291B1EE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F86-4C57-B2CC-F5E0D291B1EE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F86-4C57-B2CC-F5E0D291B1EE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F86-4C57-B2CC-F5E0D291B1EE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F86-4C57-B2CC-F5E0D291B1EE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86-4C57-B2CC-F5E0D291B1EE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F86-4C57-B2CC-F5E0D291B1EE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86-4C57-B2CC-F5E0D291B1EE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F86-4C57-B2CC-F5E0D291B1EE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86-4C57-B2CC-F5E0D291B1EE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F86-4C57-B2CC-F5E0D291B1EE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F86-4C57-B2CC-F5E0D291B1EE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F86-4C57-B2CC-F5E0D291B1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'11'!$G$13:$G$26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F86-4C57-B2CC-F5E0D291B1EE}"/>
            </c:ext>
          </c:extLst>
        </c:ser>
        <c:ser>
          <c:idx val="1"/>
          <c:order val="1"/>
          <c:tx>
            <c:strRef>
              <c:f>'11'!$H$12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F86-4C57-B2CC-F5E0D291B1EE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F86-4C57-B2CC-F5E0D291B1EE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1F86-4C57-B2CC-F5E0D291B1EE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1F86-4C57-B2CC-F5E0D291B1EE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1F86-4C57-B2CC-F5E0D291B1EE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1F86-4C57-B2CC-F5E0D291B1EE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1F86-4C57-B2CC-F5E0D291B1EE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1F86-4C57-B2CC-F5E0D291B1EE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1F86-4C57-B2CC-F5E0D291B1EE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1F86-4C57-B2CC-F5E0D291B1EE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1F86-4C57-B2CC-F5E0D291B1EE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1F86-4C57-B2CC-F5E0D291B1EE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1F86-4C57-B2CC-F5E0D291B1EE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1F86-4C57-B2CC-F5E0D291B1EE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F86-4C57-B2CC-F5E0D291B1EE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F86-4C57-B2CC-F5E0D291B1EE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F86-4C57-B2CC-F5E0D291B1EE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F86-4C57-B2CC-F5E0D291B1EE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F86-4C57-B2CC-F5E0D291B1EE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F86-4C57-B2CC-F5E0D291B1EE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1F86-4C57-B2CC-F5E0D291B1EE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1F86-4C57-B2CC-F5E0D291B1EE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1F86-4C57-B2CC-F5E0D291B1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'11'!$H$13:$H$26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1F86-4C57-B2CC-F5E0D291B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'11'!$B$12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583-4F05-8B7D-EDD40BEF08B8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583-4F05-8B7D-EDD40BEF08B8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583-4F05-8B7D-EDD40BEF08B8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583-4F05-8B7D-EDD40BEF08B8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583-4F05-8B7D-EDD40BEF08B8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583-4F05-8B7D-EDD40BEF08B8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583-4F05-8B7D-EDD40BEF08B8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583-4F05-8B7D-EDD40BEF08B8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583-4F05-8B7D-EDD40BEF08B8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583-4F05-8B7D-EDD40BEF08B8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583-4F05-8B7D-EDD40BEF08B8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583-4F05-8B7D-EDD40BEF08B8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583-4F05-8B7D-EDD40BEF08B8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583-4F05-8B7D-EDD40BEF08B8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83-4F05-8B7D-EDD40BEF08B8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583-4F05-8B7D-EDD40BEF08B8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83-4F05-8B7D-EDD40BEF08B8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583-4F05-8B7D-EDD40BEF08B8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83-4F05-8B7D-EDD40BEF0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'11'!$B$13:$B$26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583-4F05-8B7D-EDD40BEF08B8}"/>
            </c:ext>
          </c:extLst>
        </c:ser>
        <c:ser>
          <c:idx val="1"/>
          <c:order val="1"/>
          <c:tx>
            <c:strRef>
              <c:f>'11'!$C$12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6583-4F05-8B7D-EDD40BEF08B8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6583-4F05-8B7D-EDD40BEF08B8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6583-4F05-8B7D-EDD40BEF08B8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6583-4F05-8B7D-EDD40BEF08B8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6583-4F05-8B7D-EDD40BEF08B8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6583-4F05-8B7D-EDD40BEF08B8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6583-4F05-8B7D-EDD40BEF08B8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6583-4F05-8B7D-EDD40BEF08B8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6583-4F05-8B7D-EDD40BEF08B8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6583-4F05-8B7D-EDD40BEF08B8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6583-4F05-8B7D-EDD40BEF08B8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6583-4F05-8B7D-EDD40BEF08B8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6583-4F05-8B7D-EDD40BEF08B8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6583-4F05-8B7D-EDD40BEF08B8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583-4F05-8B7D-EDD40BEF08B8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583-4F05-8B7D-EDD40BEF08B8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583-4F05-8B7D-EDD40BEF08B8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583-4F05-8B7D-EDD40BEF08B8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583-4F05-8B7D-EDD40BEF08B8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583-4F05-8B7D-EDD40BEF0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'11'!$C$13:$C$26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6583-4F05-8B7D-EDD40BEF0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'12'!$B$5:$B$7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D2-46C9-BD2A-803C613278A4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'12'!$C$5:$C$7</c:f>
              <c:numCache>
                <c:formatCode>_-* #,##0.00\ [$zł-415]_-;\-* #,##0.00\ [$zł-415]_-;_-* "-"??\ [$zł-415]_-;_-@_-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D2-46C9-BD2A-803C61327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'12'!$G$12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EB2-4EB1-9405-6AAD7FB9996B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EB2-4EB1-9405-6AAD7FB9996B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EB2-4EB1-9405-6AAD7FB9996B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EB2-4EB1-9405-6AAD7FB9996B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EB2-4EB1-9405-6AAD7FB9996B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EB2-4EB1-9405-6AAD7FB9996B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EB2-4EB1-9405-6AAD7FB9996B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EB2-4EB1-9405-6AAD7FB9996B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EB2-4EB1-9405-6AAD7FB9996B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EB2-4EB1-9405-6AAD7FB9996B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EB2-4EB1-9405-6AAD7FB9996B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EB2-4EB1-9405-6AAD7FB9996B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EB2-4EB1-9405-6AAD7FB9996B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EB2-4EB1-9405-6AAD7FB9996B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EB2-4EB1-9405-6AAD7FB9996B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B2-4EB1-9405-6AAD7FB9996B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EB2-4EB1-9405-6AAD7FB9996B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B2-4EB1-9405-6AAD7FB9996B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EB2-4EB1-9405-6AAD7FB9996B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B2-4EB1-9405-6AAD7FB9996B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EB2-4EB1-9405-6AAD7FB9996B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EB2-4EB1-9405-6AAD7FB9996B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EB2-4EB1-9405-6AAD7FB999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'12'!$G$13:$G$26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EB2-4EB1-9405-6AAD7FB9996B}"/>
            </c:ext>
          </c:extLst>
        </c:ser>
        <c:ser>
          <c:idx val="1"/>
          <c:order val="1"/>
          <c:tx>
            <c:strRef>
              <c:f>'12'!$H$12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6EB2-4EB1-9405-6AAD7FB9996B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6EB2-4EB1-9405-6AAD7FB9996B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6EB2-4EB1-9405-6AAD7FB9996B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6EB2-4EB1-9405-6AAD7FB9996B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6EB2-4EB1-9405-6AAD7FB9996B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6EB2-4EB1-9405-6AAD7FB9996B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6EB2-4EB1-9405-6AAD7FB9996B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6EB2-4EB1-9405-6AAD7FB9996B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6EB2-4EB1-9405-6AAD7FB9996B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6EB2-4EB1-9405-6AAD7FB9996B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6EB2-4EB1-9405-6AAD7FB9996B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6EB2-4EB1-9405-6AAD7FB9996B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6EB2-4EB1-9405-6AAD7FB9996B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6EB2-4EB1-9405-6AAD7FB9996B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EB2-4EB1-9405-6AAD7FB9996B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EB2-4EB1-9405-6AAD7FB9996B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EB2-4EB1-9405-6AAD7FB9996B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EB2-4EB1-9405-6AAD7FB9996B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EB2-4EB1-9405-6AAD7FB9996B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EB2-4EB1-9405-6AAD7FB9996B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EB2-4EB1-9405-6AAD7FB9996B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EB2-4EB1-9405-6AAD7FB9996B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6EB2-4EB1-9405-6AAD7FB999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'12'!$H$13:$H$26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6EB2-4EB1-9405-6AAD7FB99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'12'!$B$12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40-4EE8-9133-FBF6201A339E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40-4EE8-9133-FBF6201A339E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D40-4EE8-9133-FBF6201A339E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D40-4EE8-9133-FBF6201A339E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D40-4EE8-9133-FBF6201A339E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D40-4EE8-9133-FBF6201A339E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D40-4EE8-9133-FBF6201A339E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D40-4EE8-9133-FBF6201A339E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D40-4EE8-9133-FBF6201A339E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D40-4EE8-9133-FBF6201A339E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D40-4EE8-9133-FBF6201A339E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D40-4EE8-9133-FBF6201A339E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D40-4EE8-9133-FBF6201A339E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D40-4EE8-9133-FBF6201A339E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40-4EE8-9133-FBF6201A339E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D40-4EE8-9133-FBF6201A339E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D40-4EE8-9133-FBF6201A339E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D40-4EE8-9133-FBF6201A339E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D40-4EE8-9133-FBF6201A33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'12'!$B$13:$B$26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D40-4EE8-9133-FBF6201A339E}"/>
            </c:ext>
          </c:extLst>
        </c:ser>
        <c:ser>
          <c:idx val="1"/>
          <c:order val="1"/>
          <c:tx>
            <c:strRef>
              <c:f>'12'!$C$12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3D40-4EE8-9133-FBF6201A339E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3D40-4EE8-9133-FBF6201A339E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3D40-4EE8-9133-FBF6201A339E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3D40-4EE8-9133-FBF6201A339E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3D40-4EE8-9133-FBF6201A339E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3D40-4EE8-9133-FBF6201A339E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3D40-4EE8-9133-FBF6201A339E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3D40-4EE8-9133-FBF6201A339E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3D40-4EE8-9133-FBF6201A339E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3D40-4EE8-9133-FBF6201A339E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3D40-4EE8-9133-FBF6201A339E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3D40-4EE8-9133-FBF6201A339E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3D40-4EE8-9133-FBF6201A339E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3D40-4EE8-9133-FBF6201A339E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D40-4EE8-9133-FBF6201A339E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D40-4EE8-9133-FBF6201A339E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D40-4EE8-9133-FBF6201A339E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D40-4EE8-9133-FBF6201A339E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D40-4EE8-9133-FBF6201A339E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D40-4EE8-9133-FBF6201A33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'12'!$C$13:$C$26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3D40-4EE8-9133-FBF6201A3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7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0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9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CFFB7E-72CF-9596-91B4-1FEE542AA4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4E7FF8-D947-5E58-4493-5E3C639308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0693CB-CFBE-3001-F2D6-4A2119F964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43D69D-C531-49D2-B358-3796D99579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8B6C30A-BD89-46D5-BF44-FA4C05B614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FE5A8D-6B71-484B-87BE-9C8D626A40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B051D6-43F3-4299-9B23-EA13E5EF4D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2824A40-7550-469E-A413-6B2B4DD740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5B15B2E-B7D7-4205-B18B-12DF19FE7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B5492F-3B2D-4B75-9AB3-DF2AA2BA24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6B82E8B-1083-4AAC-A6FE-20C66F474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127A5BB-D236-4331-8210-1FAC36944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DBAC68-E9C2-4BF5-B1BA-04FF0D293C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87E43F4-2A26-479A-945B-4560A5D076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9E019E0-335C-4C70-A039-34BE10C3F8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BBC24A-C459-4733-9260-0011641CC3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15AD8A3-F668-47C9-BD60-0C9DD9D5E5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AB1D5AD-E3CD-4142-9661-3E2A423E0E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A666E4-CBAE-4D5B-9580-B3A6D1DD49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59EFF53-A076-452A-9EB9-6AAF428061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7FC669-81E5-4900-A51B-68FA9716C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30E876-9382-428E-ACD7-DFD3B78C9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F6F8C02-BF66-47CF-A29D-D1C062928C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13BFA4A-41BF-41B6-BC73-41B49CA7FF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48AA24-5497-404F-BB1C-86C3C07EC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B090CC-2AE3-4BE0-8CF3-FA24200DCC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E2FC35-BFD1-4090-99C1-5FA0157E89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6AAE43-889E-4C83-AA69-5DD329F16B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119E0A7-F49C-47FC-8181-B07DE3402B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9F7BA43-E199-417B-83F7-C5C6E2362E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3D95D4-4BA0-44FA-93D0-ACCE456216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AB5C57-30CC-44E8-AD32-4A39368E7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CE7A96-3F19-40E1-9B35-61EB7D096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E179CD-5D83-4C85-8EC8-82797CA210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675270D-5702-4FC4-9586-2624445E0A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BEA09D-5ECA-4F43-A3ED-02E5EB108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B9FDA8-428F-476D-9993-DDB17573CCE8}" name="Income_1" displayName="Income_1" ref="A12:D27" totalsRowCount="1" headerRowDxfId="779" totalsRowDxfId="776" headerRowBorderDxfId="778" tableBorderDxfId="777" totalsRowBorderDxfId="775">
  <autoFilter ref="A12:D26" xr:uid="{93B9FDA8-428F-476D-9993-DDB17573CCE8}"/>
  <tableColumns count="4">
    <tableColumn id="1" xr3:uid="{47963C17-678E-425A-8D4A-D2FE3D6E7226}" name="Source" totalsRowLabel="Total" dataDxfId="774" totalsRowDxfId="773"/>
    <tableColumn id="2" xr3:uid="{3C63B028-A6DC-4F52-8475-8BC80F99EB1C}" name="Planned" totalsRowFunction="custom" dataDxfId="772" totalsRowDxfId="771">
      <totalsRowFormula>SUM(B13:B26)</totalsRowFormula>
    </tableColumn>
    <tableColumn id="3" xr3:uid="{585C65ED-789D-4AA6-84C8-FC72116AAD6D}" name="Actual" totalsRowFunction="custom" dataDxfId="770" totalsRowDxfId="769">
      <totalsRowFormula>SUM(Income_1[Actual])</totalsRowFormula>
    </tableColumn>
    <tableColumn id="4" xr3:uid="{894C6C1B-7E82-4BDA-B915-F19F691706F1}" name="Left" totalsRowFunction="sum" dataDxfId="768" totalsRowDxfId="767"/>
  </tableColumns>
  <tableStyleInfo name="Table Style Min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A8353D-9D5D-42AC-A175-10AA233D4CCC}" name="Expenses_1" displayName="Expenses_1" ref="F12:I27" totalsRowCount="1" headerRowDxfId="766" totalsRowDxfId="763" headerRowBorderDxfId="765" tableBorderDxfId="764" totalsRowBorderDxfId="762">
  <autoFilter ref="F12:I26" xr:uid="{24A8353D-9D5D-42AC-A175-10AA233D4CCC}"/>
  <tableColumns count="4">
    <tableColumn id="1" xr3:uid="{F0018E1B-25DC-44BE-BA1D-A7095A040E13}" name="Category" totalsRowLabel="Total" dataDxfId="761" totalsRowDxfId="760"/>
    <tableColumn id="2" xr3:uid="{3C235523-D986-48AE-9CD3-9E36C86B2839}" name="Planned" totalsRowFunction="custom" dataDxfId="759" totalsRowDxfId="758" dataCellStyle="Currency">
      <totalsRowFormula>SUM(G13:G26)</totalsRowFormula>
    </tableColumn>
    <tableColumn id="3" xr3:uid="{AD2EEE4E-3835-4B34-8A96-E7D2653ADBA2}" name="Actual" totalsRowFunction="custom" dataDxfId="757" totalsRowDxfId="756" dataCellStyle="Currency">
      <totalsRowFormula>SUM(H13:H26)</totalsRowFormula>
    </tableColumn>
    <tableColumn id="4" xr3:uid="{8ABC1D3D-43BA-4F9B-981A-0FA0EE02CE50}" name="Left" totalsRowFunction="sum" dataDxfId="755" totalsRowDxfId="754" dataCellStyl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B5C5F31-13A9-4CEA-9193-37475751E1DB}" name="Bills_1" displayName="Bills_1" ref="K12:N27" totalsRowCount="1" headerRowDxfId="753" totalsRowDxfId="750" headerRowBorderDxfId="752" tableBorderDxfId="751" totalsRowBorderDxfId="749">
  <autoFilter ref="K12:N26" xr:uid="{EB5C5F31-13A9-4CEA-9193-37475751E1DB}"/>
  <tableColumns count="4">
    <tableColumn id="1" xr3:uid="{974AB822-F1D7-4B32-882A-2EFFDCBD2EB4}" name="Bill" totalsRowLabel="Total" dataDxfId="748" totalsRowDxfId="747"/>
    <tableColumn id="2" xr3:uid="{1575EFDB-723D-4B63-81F2-B41C72839C5A}" name="Due" dataDxfId="746" totalsRowDxfId="745"/>
    <tableColumn id="3" xr3:uid="{BC90331A-648F-4944-B224-7A23A04D9C44}" name="Planned" totalsRowFunction="custom" dataDxfId="744" totalsRowDxfId="743" dataCellStyle="Currency">
      <totalsRowFormula>SUM(M13:M26)</totalsRowFormula>
    </tableColumn>
    <tableColumn id="4" xr3:uid="{820C1A9B-D61A-4153-9713-E99DFF4DF0C9}" name="Actual" totalsRowFunction="count" dataDxfId="742" totalsRowDxfId="741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E7F0D9A-AB58-44A4-9409-811D7CF48231}" name="Subscriptions_1" displayName="Subscriptions_1" ref="P12:S27" totalsRowCount="1" headerRowDxfId="740" totalsRowDxfId="737" headerRowBorderDxfId="739" tableBorderDxfId="738" totalsRowBorderDxfId="736">
  <autoFilter ref="P12:S26" xr:uid="{0E7F0D9A-AB58-44A4-9409-811D7CF48231}"/>
  <tableColumns count="4">
    <tableColumn id="1" xr3:uid="{E7C3C493-1D35-494E-8780-064E76CA215A}" name="Service" totalsRowLabel="Total" dataDxfId="735" totalsRowDxfId="734"/>
    <tableColumn id="2" xr3:uid="{B808D1D5-EB2E-4C46-9F05-307A3089A0EB}" name="Due" dataDxfId="733" totalsRowDxfId="732"/>
    <tableColumn id="3" xr3:uid="{970C713E-06E0-47FF-96E6-E3CF2E914BBC}" name="Planned" totalsRowFunction="custom" dataDxfId="731" totalsRowDxfId="730">
      <totalsRowFormula>SUM(R13:R26)</totalsRowFormula>
    </tableColumn>
    <tableColumn id="4" xr3:uid="{F190011F-4908-4132-8EC4-6494253264FA}" name="Actual" totalsRowFunction="count" dataDxfId="729" totalsRowDxfId="7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F81A8-B423-4B5B-B86F-3F525C6B18A9}" name="Savings_1" displayName="Savings_1" ref="U12:X27" totalsRowCount="1" headerRowDxfId="727" totalsRowDxfId="724" headerRowBorderDxfId="726" tableBorderDxfId="725" totalsRowBorderDxfId="723">
  <autoFilter ref="U12:X26" xr:uid="{B4BF81A8-B423-4B5B-B86F-3F525C6B18A9}"/>
  <tableColumns count="4">
    <tableColumn id="1" xr3:uid="{2CF9D6BD-DDC0-49CA-A5EA-61E3721B6E5E}" name="Aim" totalsRowLabel="Total" dataDxfId="722" totalsRowDxfId="721"/>
    <tableColumn id="2" xr3:uid="{D196274E-04BA-4C40-9CB9-845488706B69}" name="Planned" totalsRowFunction="custom" dataDxfId="720" totalsRowDxfId="719">
      <totalsRowFormula>SUM(V13:V26)</totalsRowFormula>
    </tableColumn>
    <tableColumn id="3" xr3:uid="{BCD8925A-A2B2-47A6-A8D8-57B4DBA32F92}" name="Actual" totalsRowFunction="sum" dataDxfId="718" totalsRowDxfId="717"/>
    <tableColumn id="4" xr3:uid="{B2F711D2-4F5D-447B-81E8-1FBAB0FC774A}" name="Left" totalsRowFunction="custom" dataDxfId="716" totalsRowDxfId="715">
      <calculatedColumnFormula>Savings_1[[#This Row],[Planned]]-Savings_1[[#This Row],[Actual]]</calculatedColumnFormula>
      <totalsRowFormula>SUM(Savings_1[Left])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A1B914B-6CA4-46F8-881C-26B3F7D4A960}" name="Income_2" displayName="Income_2" ref="A12:D27" totalsRowCount="1" headerRowDxfId="714" totalsRowDxfId="713" headerRowBorderDxfId="711" tableBorderDxfId="712" totalsRowBorderDxfId="710">
  <autoFilter ref="A12:D26" xr:uid="{93B9FDA8-428F-476D-9993-DDB17573CCE8}"/>
  <tableColumns count="4">
    <tableColumn id="1" xr3:uid="{489A8EFA-FC88-40E2-904F-CE058614D83D}" name="Source" totalsRowLabel="Total" dataDxfId="708" totalsRowDxfId="709"/>
    <tableColumn id="2" xr3:uid="{A8453D5A-F4F4-490B-8E2F-C86E059140E5}" name="Planned" totalsRowFunction="custom" dataDxfId="706" totalsRowDxfId="707">
      <totalsRowFormula>SUM(B13:B26)</totalsRowFormula>
    </tableColumn>
    <tableColumn id="3" xr3:uid="{8FFC465D-083B-4FD7-9955-0B1E8EEEEA39}" name="Actual" totalsRowFunction="custom" dataDxfId="704" totalsRowDxfId="705">
      <totalsRowFormula>SUM(Income_2[Actual])</totalsRowFormula>
    </tableColumn>
    <tableColumn id="4" xr3:uid="{760D736C-28B5-475E-B0A3-74AC561A32D9}" name="Left" totalsRowFunction="sum" dataDxfId="702" totalsRowDxfId="703"/>
  </tableColumns>
  <tableStyleInfo name="Table Style Min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B878390-7590-4536-B2A6-3477255608BF}" name="Expenses_2" displayName="Expenses_2" ref="F12:I27" totalsRowCount="1" headerRowDxfId="701" totalsRowDxfId="700" headerRowBorderDxfId="698" tableBorderDxfId="699" totalsRowBorderDxfId="697">
  <autoFilter ref="F12:I26" xr:uid="{24A8353D-9D5D-42AC-A175-10AA233D4CCC}"/>
  <tableColumns count="4">
    <tableColumn id="1" xr3:uid="{62B24646-B271-4D40-B72E-D670B6ACA58B}" name="Category" totalsRowLabel="Total" dataDxfId="695" totalsRowDxfId="696"/>
    <tableColumn id="2" xr3:uid="{932EC280-8D94-4051-96BC-0170F4C7AA5B}" name="Planned" totalsRowFunction="custom" dataDxfId="693" totalsRowDxfId="694" dataCellStyle="Currency">
      <totalsRowFormula>SUM(G13:G26)</totalsRowFormula>
    </tableColumn>
    <tableColumn id="3" xr3:uid="{D9305414-5DA3-458E-8F1F-C048582FBD54}" name="Actual" totalsRowFunction="custom" dataDxfId="691" totalsRowDxfId="692" dataCellStyle="Currency">
      <totalsRowFormula>SUM(H13:H26)</totalsRowFormula>
    </tableColumn>
    <tableColumn id="4" xr3:uid="{95ADAA12-B86D-4CAB-B69E-96FD8364CED1}" name="Left" totalsRowFunction="sum" dataDxfId="689" totalsRowDxfId="690" dataCellStyle="Currenc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219EF5F-6B84-4E28-8E95-98F2B3E3E863}" name="Bills_2" displayName="Bills_2" ref="K12:N27" totalsRowCount="1" headerRowDxfId="688" totalsRowDxfId="687" headerRowBorderDxfId="685" tableBorderDxfId="686" totalsRowBorderDxfId="684">
  <autoFilter ref="K12:N26" xr:uid="{EB5C5F31-13A9-4CEA-9193-37475751E1DB}"/>
  <tableColumns count="4">
    <tableColumn id="1" xr3:uid="{15E1E1B2-B2CA-409C-BDF7-1945956FB709}" name="Bill" totalsRowLabel="Total" dataDxfId="682" totalsRowDxfId="683"/>
    <tableColumn id="2" xr3:uid="{6A095125-D718-4695-AEAA-0F6FADE3B860}" name="Due" dataDxfId="680" totalsRowDxfId="681"/>
    <tableColumn id="3" xr3:uid="{8B289D2D-00CD-430D-A7CF-76EB225200B6}" name="Planned" totalsRowFunction="custom" dataDxfId="678" totalsRowDxfId="679" dataCellStyle="Currency">
      <totalsRowFormula>SUM(M13:M26)</totalsRowFormula>
    </tableColumn>
    <tableColumn id="4" xr3:uid="{4C58663C-9268-4CDD-B59E-BC6074F3B383}" name="Actual" totalsRowFunction="count" dataDxfId="676" totalsRowDxfId="677" dataCellStyle="Currency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47407D7-B6D5-480A-9CE4-4282DC171D77}" name="Subscriptions_2" displayName="Subscriptions_2" ref="P12:S27" totalsRowCount="1" headerRowDxfId="675" totalsRowDxfId="674" headerRowBorderDxfId="672" tableBorderDxfId="673" totalsRowBorderDxfId="671">
  <autoFilter ref="P12:S26" xr:uid="{0E7F0D9A-AB58-44A4-9409-811D7CF48231}"/>
  <tableColumns count="4">
    <tableColumn id="1" xr3:uid="{477A9412-569E-4155-B4D8-D164B3593200}" name="Service" totalsRowLabel="Total" dataDxfId="669" totalsRowDxfId="670"/>
    <tableColumn id="2" xr3:uid="{1BFB694F-44E3-4AF4-A07E-2AB6D6C8EF70}" name="Due" dataDxfId="667" totalsRowDxfId="668"/>
    <tableColumn id="3" xr3:uid="{69CC4626-41FC-4619-A83A-C044EAE8D4D5}" name="Planned" totalsRowFunction="custom" dataDxfId="665" totalsRowDxfId="666">
      <totalsRowFormula>SUM(R13:R26)</totalsRowFormula>
    </tableColumn>
    <tableColumn id="4" xr3:uid="{34CB8190-46CA-481E-9364-7CFEDF02BDCF}" name="Actual" totalsRowFunction="count" dataDxfId="663" totalsRowDxfId="66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89ECD85-0BDA-4E43-88B3-8F6CE7C2524E}" name="Savings_2" displayName="Savings_2" ref="U12:X27" totalsRowCount="1" headerRowDxfId="662" totalsRowDxfId="661" headerRowBorderDxfId="659" tableBorderDxfId="660" totalsRowBorderDxfId="658">
  <autoFilter ref="U12:X26" xr:uid="{B4BF81A8-B423-4B5B-B86F-3F525C6B18A9}"/>
  <tableColumns count="4">
    <tableColumn id="1" xr3:uid="{B8782345-20FE-4521-B9B2-F561D33C27EB}" name="Aim" totalsRowLabel="Total" dataDxfId="656" totalsRowDxfId="657"/>
    <tableColumn id="2" xr3:uid="{2E5FE1D1-F2BF-43CB-8C38-BF695B621025}" name="Planned" totalsRowFunction="custom" dataDxfId="654" totalsRowDxfId="655">
      <totalsRowFormula>SUM(V13:V26)</totalsRowFormula>
    </tableColumn>
    <tableColumn id="3" xr3:uid="{1CE3AF37-F7C1-475E-A1C4-ACDE615F545E}" name="Actual" totalsRowFunction="sum" dataDxfId="652" totalsRowDxfId="653"/>
    <tableColumn id="4" xr3:uid="{A85A40A3-FB67-4EFB-A575-5FED3A58DB2F}" name="Left" totalsRowFunction="custom" dataDxfId="650" totalsRowDxfId="651">
      <calculatedColumnFormula>Savings_2[[#This Row],[Planned]]-Savings_2[[#This Row],[Actual]]</calculatedColumnFormula>
      <totalsRowFormula>SUM(Savings_2[Left])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79B431F-C678-4457-A2DF-89B3257C9752}" name="Income_3" displayName="Income_3" ref="A12:D27" totalsRowCount="1" headerRowDxfId="649" totalsRowDxfId="648" headerRowBorderDxfId="646" tableBorderDxfId="647" totalsRowBorderDxfId="645">
  <autoFilter ref="A12:D26" xr:uid="{93B9FDA8-428F-476D-9993-DDB17573CCE8}"/>
  <tableColumns count="4">
    <tableColumn id="1" xr3:uid="{F0F1504C-7E85-4D2F-A13F-514FE6C846CF}" name="Source" totalsRowLabel="Total" dataDxfId="643" totalsRowDxfId="644"/>
    <tableColumn id="2" xr3:uid="{0A42F41D-54A9-4B26-B62A-9584C779593F}" name="Planned" totalsRowFunction="custom" dataDxfId="641" totalsRowDxfId="642">
      <totalsRowFormula>SUM(B13:B26)</totalsRowFormula>
    </tableColumn>
    <tableColumn id="3" xr3:uid="{C4A3B8EC-3631-47B1-BE65-953CF3F2C724}" name="Actual" totalsRowFunction="custom" dataDxfId="639" totalsRowDxfId="640">
      <totalsRowFormula>SUM(Income_3[Actual])</totalsRowFormula>
    </tableColumn>
    <tableColumn id="4" xr3:uid="{829F6D68-96E0-4273-8F3F-9E9C0566D6F3}" name="Left" totalsRowFunction="sum" dataDxfId="637" totalsRowDxfId="638"/>
  </tableColumns>
  <tableStyleInfo name="Table Style Min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7667C96-216C-4FDB-9898-1CB62B25BB5C}" name="Expenses_3" displayName="Expenses_3" ref="F12:I27" totalsRowCount="1" headerRowDxfId="636" totalsRowDxfId="635" headerRowBorderDxfId="633" tableBorderDxfId="634" totalsRowBorderDxfId="632">
  <autoFilter ref="F12:I26" xr:uid="{24A8353D-9D5D-42AC-A175-10AA233D4CCC}"/>
  <tableColumns count="4">
    <tableColumn id="1" xr3:uid="{3E335DF3-E953-46BE-8E32-276CEC46A67E}" name="Category" totalsRowLabel="Total" dataDxfId="630" totalsRowDxfId="631"/>
    <tableColumn id="2" xr3:uid="{F4923785-6F58-4A6D-8873-BFCD68622586}" name="Planned" totalsRowFunction="custom" dataDxfId="628" totalsRowDxfId="629" dataCellStyle="Currency">
      <totalsRowFormula>SUM(G13:G26)</totalsRowFormula>
    </tableColumn>
    <tableColumn id="3" xr3:uid="{507C6C7B-5F9A-45DD-89B2-DC640B1D72AD}" name="Actual" totalsRowFunction="custom" dataDxfId="626" totalsRowDxfId="627" dataCellStyle="Currency">
      <totalsRowFormula>SUM(H13:H26)</totalsRowFormula>
    </tableColumn>
    <tableColumn id="4" xr3:uid="{FEC544FB-D0E7-4308-B263-296B62298749}" name="Left" totalsRowFunction="sum" dataDxfId="624" totalsRowDxfId="625" dataCellStyle="Currenc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BF2435F-6524-4D38-B7E0-40A5EAF56239}" name="Bills_3" displayName="Bills_3" ref="K12:N27" totalsRowCount="1" headerRowDxfId="623" totalsRowDxfId="622" headerRowBorderDxfId="620" tableBorderDxfId="621" totalsRowBorderDxfId="619">
  <autoFilter ref="K12:N26" xr:uid="{EB5C5F31-13A9-4CEA-9193-37475751E1DB}"/>
  <tableColumns count="4">
    <tableColumn id="1" xr3:uid="{2F3A4D30-E66D-4F9C-A943-C448D3B2D713}" name="Bill" totalsRowLabel="Total" dataDxfId="617" totalsRowDxfId="618"/>
    <tableColumn id="2" xr3:uid="{0B006AB9-035B-4B57-B645-2F8A7D219E6D}" name="Due" dataDxfId="615" totalsRowDxfId="616"/>
    <tableColumn id="3" xr3:uid="{4A92B0C3-94D1-4890-846C-C376EB7116D5}" name="Planned" totalsRowFunction="custom" dataDxfId="613" totalsRowDxfId="614" dataCellStyle="Currency">
      <totalsRowFormula>SUM(M13:M26)</totalsRowFormula>
    </tableColumn>
    <tableColumn id="4" xr3:uid="{99DE9C32-DFF9-4487-877A-2AAEE42B0B6B}" name="Actual" totalsRowFunction="count" dataDxfId="611" totalsRowDxfId="612" dataCellStyle="Currency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032F1F6-6C71-4DB6-92B8-4F77F50F8B6C}" name="Subscriptions_3" displayName="Subscriptions_3" ref="P12:S27" totalsRowCount="1" headerRowDxfId="610" totalsRowDxfId="609" headerRowBorderDxfId="607" tableBorderDxfId="608" totalsRowBorderDxfId="606">
  <autoFilter ref="P12:S26" xr:uid="{0E7F0D9A-AB58-44A4-9409-811D7CF48231}"/>
  <tableColumns count="4">
    <tableColumn id="1" xr3:uid="{55E99F42-BE4E-4763-848D-A9EFC058ACBD}" name="Service" totalsRowLabel="Total" dataDxfId="604" totalsRowDxfId="605"/>
    <tableColumn id="2" xr3:uid="{1C5DC156-23C3-4C66-B54B-FE64F0CABFB1}" name="Due" dataDxfId="602" totalsRowDxfId="603"/>
    <tableColumn id="3" xr3:uid="{57CFA5B6-2FBE-40E0-BF25-76F53DA50BEE}" name="Planned" totalsRowFunction="custom" dataDxfId="600" totalsRowDxfId="601">
      <totalsRowFormula>SUM(R13:R26)</totalsRowFormula>
    </tableColumn>
    <tableColumn id="4" xr3:uid="{5A147560-C40C-45D7-9A84-CE12327820E5}" name="Actual" totalsRowFunction="count" dataDxfId="598" totalsRowDxfId="5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5FB330-50C9-4B2F-AA8A-9F7CF23D4443}" name="Savings_3" displayName="Savings_3" ref="U12:X27" totalsRowCount="1" headerRowDxfId="597" totalsRowDxfId="596" headerRowBorderDxfId="594" tableBorderDxfId="595" totalsRowBorderDxfId="593">
  <autoFilter ref="U12:X26" xr:uid="{B4BF81A8-B423-4B5B-B86F-3F525C6B18A9}"/>
  <tableColumns count="4">
    <tableColumn id="1" xr3:uid="{50B9589C-8F27-476A-B767-79B36B27D41B}" name="Aim" totalsRowLabel="Total" dataDxfId="591" totalsRowDxfId="592"/>
    <tableColumn id="2" xr3:uid="{AEFCEBDB-CD4B-4A5D-9C8C-827DAEB05A80}" name="Planned" totalsRowFunction="custom" dataDxfId="589" totalsRowDxfId="590">
      <totalsRowFormula>SUM(V13:V26)</totalsRowFormula>
    </tableColumn>
    <tableColumn id="3" xr3:uid="{66222244-B165-4A85-8B6D-6A75673038B6}" name="Actual" totalsRowFunction="sum" dataDxfId="587" totalsRowDxfId="588"/>
    <tableColumn id="4" xr3:uid="{2519F432-CC23-4689-A6BE-596BCE76D505}" name="Left" totalsRowFunction="custom" dataDxfId="585" totalsRowDxfId="586">
      <calculatedColumnFormula>Savings_3[[#This Row],[Planned]]-Savings_3[[#This Row],[Actual]]</calculatedColumnFormula>
      <totalsRowFormula>SUM(Savings_3[Left])</totalsRow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119FD4F-1B05-4347-A51D-7345A652A36F}" name="Income_4" displayName="Income_4" ref="A12:D27" totalsRowCount="1" headerRowDxfId="584" totalsRowDxfId="583" headerRowBorderDxfId="581" tableBorderDxfId="582" totalsRowBorderDxfId="580">
  <autoFilter ref="A12:D26" xr:uid="{93B9FDA8-428F-476D-9993-DDB17573CCE8}"/>
  <tableColumns count="4">
    <tableColumn id="1" xr3:uid="{BDF5AD06-4B46-4841-8C6E-4B4414FF42F1}" name="Source" totalsRowLabel="Total" dataDxfId="578" totalsRowDxfId="579"/>
    <tableColumn id="2" xr3:uid="{1653C933-2308-4BBA-BFDD-6802ECAC3DC4}" name="Planned" totalsRowFunction="custom" dataDxfId="576" totalsRowDxfId="577">
      <totalsRowFormula>SUM(B13:B26)</totalsRowFormula>
    </tableColumn>
    <tableColumn id="3" xr3:uid="{FE00140A-1D13-4723-B04F-AA73B69DD3D5}" name="Actual" totalsRowFunction="custom" dataDxfId="574" totalsRowDxfId="575">
      <totalsRowFormula>SUM(Income_4[Actual])</totalsRowFormula>
    </tableColumn>
    <tableColumn id="4" xr3:uid="{364A27DA-2133-458D-A8E3-6471D345CB46}" name="Left" totalsRowFunction="sum" dataDxfId="572" totalsRowDxfId="573"/>
  </tableColumns>
  <tableStyleInfo name="Table Style Min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824A287-8B78-481A-96B0-3B4862BF85B5}" name="Expenses_4" displayName="Expenses_4" ref="F12:I27" totalsRowCount="1" headerRowDxfId="571" totalsRowDxfId="570" headerRowBorderDxfId="568" tableBorderDxfId="569" totalsRowBorderDxfId="567">
  <autoFilter ref="F12:I26" xr:uid="{24A8353D-9D5D-42AC-A175-10AA233D4CCC}"/>
  <tableColumns count="4">
    <tableColumn id="1" xr3:uid="{47F2C526-E73F-4A42-A4BC-E8E912C30D56}" name="Category" totalsRowLabel="Total" dataDxfId="565" totalsRowDxfId="566"/>
    <tableColumn id="2" xr3:uid="{92BDEA6A-1FDC-4024-98FA-6843C79B750F}" name="Planned" totalsRowFunction="custom" dataDxfId="563" totalsRowDxfId="564" dataCellStyle="Currency">
      <totalsRowFormula>SUM(G13:G26)</totalsRowFormula>
    </tableColumn>
    <tableColumn id="3" xr3:uid="{805AC02B-094B-46AE-9331-B580E411FBDD}" name="Actual" totalsRowFunction="custom" dataDxfId="561" totalsRowDxfId="562" dataCellStyle="Currency">
      <totalsRowFormula>SUM(H13:H26)</totalsRowFormula>
    </tableColumn>
    <tableColumn id="4" xr3:uid="{3245848F-3CBB-4D32-998B-2C0E729C164D}" name="Left" totalsRowFunction="sum" dataDxfId="559" totalsRowDxfId="560" dataCellStyle="Currency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5CC978-33DF-4319-B804-31E21890F31F}" name="Bills_4" displayName="Bills_4" ref="K12:N27" totalsRowCount="1" headerRowDxfId="558" totalsRowDxfId="557" headerRowBorderDxfId="555" tableBorderDxfId="556" totalsRowBorderDxfId="554">
  <autoFilter ref="K12:N26" xr:uid="{EB5C5F31-13A9-4CEA-9193-37475751E1DB}"/>
  <tableColumns count="4">
    <tableColumn id="1" xr3:uid="{D92AC4DE-C096-4CB2-9487-749A43C12442}" name="Bill" totalsRowLabel="Total" dataDxfId="552" totalsRowDxfId="553"/>
    <tableColumn id="2" xr3:uid="{E2F7C62D-0325-49F0-9C20-69FCC41F3FDF}" name="Due" dataDxfId="550" totalsRowDxfId="551"/>
    <tableColumn id="3" xr3:uid="{761EBB0B-AB21-4CA1-BB21-7C217AF35302}" name="Planned" totalsRowFunction="custom" dataDxfId="548" totalsRowDxfId="549" dataCellStyle="Currency">
      <totalsRowFormula>SUM(M13:M26)</totalsRowFormula>
    </tableColumn>
    <tableColumn id="4" xr3:uid="{0C666034-2771-41AC-8962-AE1DADDA9BEE}" name="Actual" totalsRowFunction="count" dataDxfId="546" totalsRowDxfId="547" dataCellStyle="Currency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B42A0B0-B675-43B4-966E-FA32328D61FD}" name="Subscriptions_4" displayName="Subscriptions_4" ref="P12:S27" totalsRowCount="1" headerRowDxfId="545" totalsRowDxfId="544" headerRowBorderDxfId="542" tableBorderDxfId="543" totalsRowBorderDxfId="541">
  <autoFilter ref="P12:S26" xr:uid="{0E7F0D9A-AB58-44A4-9409-811D7CF48231}"/>
  <tableColumns count="4">
    <tableColumn id="1" xr3:uid="{EE1CB848-C40A-4414-8259-E1368C3C78D1}" name="Service" totalsRowLabel="Total" dataDxfId="539" totalsRowDxfId="540"/>
    <tableColumn id="2" xr3:uid="{11C9A5D6-DD05-48BA-BD10-4A13EFE3B76D}" name="Due" dataDxfId="537" totalsRowDxfId="538"/>
    <tableColumn id="3" xr3:uid="{480E8828-9CFE-4910-947B-1C70F2A44158}" name="Planned" totalsRowFunction="custom" dataDxfId="535" totalsRowDxfId="536">
      <totalsRowFormula>SUM(R13:R26)</totalsRowFormula>
    </tableColumn>
    <tableColumn id="4" xr3:uid="{64BAD6F8-1A34-4758-8D4A-201897F307F6}" name="Actual" totalsRowFunction="count" dataDxfId="533" totalsRowDxfId="53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022F010-CC1F-429E-9454-328CC94C3AA5}" name="Savings_4" displayName="Savings_4" ref="U12:X27" totalsRowCount="1" headerRowDxfId="532" totalsRowDxfId="531" headerRowBorderDxfId="529" tableBorderDxfId="530" totalsRowBorderDxfId="528">
  <autoFilter ref="U12:X26" xr:uid="{B4BF81A8-B423-4B5B-B86F-3F525C6B18A9}"/>
  <tableColumns count="4">
    <tableColumn id="1" xr3:uid="{4B1274A0-4212-4ED3-9796-839D21743168}" name="Aim" totalsRowLabel="Total" dataDxfId="526" totalsRowDxfId="527"/>
    <tableColumn id="2" xr3:uid="{B3449691-485D-413C-8D65-FF31FFAB8835}" name="Planned" totalsRowFunction="custom" dataDxfId="524" totalsRowDxfId="525">
      <totalsRowFormula>SUM(V13:V26)</totalsRowFormula>
    </tableColumn>
    <tableColumn id="3" xr3:uid="{18C2B20E-0E3B-408E-A5D0-ED097BE7D04B}" name="Actual" totalsRowFunction="sum" dataDxfId="522" totalsRowDxfId="523"/>
    <tableColumn id="4" xr3:uid="{20BE53A7-47B2-42E0-BD17-DE57E13AB0C4}" name="Left" totalsRowFunction="custom" dataDxfId="520" totalsRowDxfId="521">
      <calculatedColumnFormula>Savings_4[[#This Row],[Planned]]-Savings_4[[#This Row],[Actual]]</calculatedColumnFormula>
      <totalsRowFormula>SUM(Savings_4[Left])</totalsRow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AA5188B-244F-41BD-BF3F-C58E67A26813}" name="Income_5" displayName="Income_5" ref="A12:D27" totalsRowCount="1" headerRowDxfId="519" totalsRowDxfId="518" headerRowBorderDxfId="516" tableBorderDxfId="517" totalsRowBorderDxfId="515">
  <autoFilter ref="A12:D26" xr:uid="{93B9FDA8-428F-476D-9993-DDB17573CCE8}"/>
  <tableColumns count="4">
    <tableColumn id="1" xr3:uid="{329DC887-8475-40A0-A6E3-E0C97C20F67F}" name="Source" totalsRowLabel="Total" dataDxfId="513" totalsRowDxfId="514"/>
    <tableColumn id="2" xr3:uid="{844E2C8D-6A10-467D-B1B6-B1D56FE87E17}" name="Planned" totalsRowFunction="custom" dataDxfId="511" totalsRowDxfId="512">
      <totalsRowFormula>SUM(B13:B26)</totalsRowFormula>
    </tableColumn>
    <tableColumn id="3" xr3:uid="{EF675B70-B101-4DD3-B0FC-4BA787C9C2AD}" name="Actual" totalsRowFunction="custom" dataDxfId="509" totalsRowDxfId="510">
      <totalsRowFormula>SUM(Income_5[Actual])</totalsRowFormula>
    </tableColumn>
    <tableColumn id="4" xr3:uid="{9C091A3B-AF11-4700-AEAA-E98363C8D270}" name="Left" totalsRowFunction="sum" dataDxfId="507" totalsRowDxfId="508"/>
  </tableColumns>
  <tableStyleInfo name="Table Style Mine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1A7589B-BB48-4D02-BBCE-1DAD9C1BC376}" name="Expenses_5" displayName="Expenses_5" ref="F12:I27" totalsRowCount="1" headerRowDxfId="506" totalsRowDxfId="505" headerRowBorderDxfId="503" tableBorderDxfId="504" totalsRowBorderDxfId="502">
  <autoFilter ref="F12:I26" xr:uid="{24A8353D-9D5D-42AC-A175-10AA233D4CCC}"/>
  <tableColumns count="4">
    <tableColumn id="1" xr3:uid="{FF60403A-6DCC-4E68-950B-38BFA047997F}" name="Category" totalsRowLabel="Total" dataDxfId="500" totalsRowDxfId="501"/>
    <tableColumn id="2" xr3:uid="{AE4F249E-21EB-4015-885A-C0BFF0C986AE}" name="Planned" totalsRowFunction="custom" dataDxfId="498" totalsRowDxfId="499" dataCellStyle="Currency">
      <totalsRowFormula>SUM(G13:G26)</totalsRowFormula>
    </tableColumn>
    <tableColumn id="3" xr3:uid="{78E7CFF3-13BA-4FE7-92DC-C504C48D7A59}" name="Actual" totalsRowFunction="custom" dataDxfId="496" totalsRowDxfId="497" dataCellStyle="Currency">
      <totalsRowFormula>SUM(H13:H26)</totalsRowFormula>
    </tableColumn>
    <tableColumn id="4" xr3:uid="{6B20DB0A-F61E-435A-ABDE-57F2697334D8}" name="Left" totalsRowFunction="sum" dataDxfId="494" totalsRowDxfId="495" dataCellStyle="Currency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9CF9EFBD-8367-4D62-A77A-59E7462D00C9}" name="Bills_5" displayName="Bills_5" ref="K12:N27" totalsRowCount="1" headerRowDxfId="493" totalsRowDxfId="492" headerRowBorderDxfId="490" tableBorderDxfId="491" totalsRowBorderDxfId="489">
  <autoFilter ref="K12:N26" xr:uid="{EB5C5F31-13A9-4CEA-9193-37475751E1DB}"/>
  <tableColumns count="4">
    <tableColumn id="1" xr3:uid="{B2B549F9-B7BC-4FCD-A3D0-AE93C52EEDE3}" name="Bill" totalsRowLabel="Total" dataDxfId="487" totalsRowDxfId="488"/>
    <tableColumn id="2" xr3:uid="{E7775A84-2982-40EF-AC5E-0F36A9F9C812}" name="Due" dataDxfId="485" totalsRowDxfId="486"/>
    <tableColumn id="3" xr3:uid="{F02A7D3F-57D4-4C16-AF2E-4252CA583B93}" name="Planned" totalsRowFunction="custom" dataDxfId="483" totalsRowDxfId="484" dataCellStyle="Currency">
      <totalsRowFormula>SUM(M13:M26)</totalsRowFormula>
    </tableColumn>
    <tableColumn id="4" xr3:uid="{93DE7CC4-EF6C-42B3-B6FE-02B669A94B0A}" name="Actual" totalsRowFunction="count" dataDxfId="481" totalsRowDxfId="482" dataCellStyle="Currency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6BF3494-116B-4433-9E8D-EDC03524381E}" name="Subscriptions_5" displayName="Subscriptions_5" ref="P12:S27" totalsRowCount="1" headerRowDxfId="480" totalsRowDxfId="479" headerRowBorderDxfId="477" tableBorderDxfId="478" totalsRowBorderDxfId="476">
  <autoFilter ref="P12:S26" xr:uid="{0E7F0D9A-AB58-44A4-9409-811D7CF48231}"/>
  <tableColumns count="4">
    <tableColumn id="1" xr3:uid="{DA6D64C5-4412-47BE-8FEC-6753E5B863E9}" name="Service" totalsRowLabel="Total" dataDxfId="474" totalsRowDxfId="475"/>
    <tableColumn id="2" xr3:uid="{86629E4F-EFC5-488D-AA0C-DA5F12051753}" name="Due" dataDxfId="472" totalsRowDxfId="473"/>
    <tableColumn id="3" xr3:uid="{F12E4E0C-F1B8-4FA7-8E03-558802FD431C}" name="Planned" totalsRowFunction="custom" dataDxfId="470" totalsRowDxfId="471">
      <totalsRowFormula>SUM(R13:R26)</totalsRowFormula>
    </tableColumn>
    <tableColumn id="4" xr3:uid="{1FB5B8EE-55C3-4E31-A90D-10964840D627}" name="Actual" totalsRowFunction="count" dataDxfId="468" totalsRowDxfId="46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190B9F2B-33D4-40D5-BA7D-C86E9EAAE881}" name="Savings_5" displayName="Savings_5" ref="U12:X27" totalsRowCount="1" headerRowDxfId="467" totalsRowDxfId="466" headerRowBorderDxfId="464" tableBorderDxfId="465" totalsRowBorderDxfId="463">
  <autoFilter ref="U12:X26" xr:uid="{B4BF81A8-B423-4B5B-B86F-3F525C6B18A9}"/>
  <tableColumns count="4">
    <tableColumn id="1" xr3:uid="{59B5A73E-44F3-46A0-83A3-AA29EE066425}" name="Aim" totalsRowLabel="Total" dataDxfId="461" totalsRowDxfId="462"/>
    <tableColumn id="2" xr3:uid="{F1077293-93ED-4881-A0F1-C268388E2358}" name="Planned" totalsRowFunction="custom" dataDxfId="459" totalsRowDxfId="460">
      <totalsRowFormula>SUM(V13:V26)</totalsRowFormula>
    </tableColumn>
    <tableColumn id="3" xr3:uid="{6A16649D-F4E5-4F2A-B479-1639EEE5A88B}" name="Actual" totalsRowFunction="sum" dataDxfId="457" totalsRowDxfId="458"/>
    <tableColumn id="4" xr3:uid="{A80975A7-1801-4044-9FA3-D468E42D28CB}" name="Left" totalsRowFunction="custom" dataDxfId="455" totalsRowDxfId="456">
      <calculatedColumnFormula>Savings_5[[#This Row],[Planned]]-Savings_5[[#This Row],[Actual]]</calculatedColumnFormula>
      <totalsRowFormula>SUM(Savings_5[Left])</totalsRow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2B89A7F-CBF0-4039-9C31-96CEBBA1599E}" name="Income_6" displayName="Income_6" ref="A12:D27" totalsRowCount="1" headerRowDxfId="454" totalsRowDxfId="453" headerRowBorderDxfId="451" tableBorderDxfId="452" totalsRowBorderDxfId="450">
  <autoFilter ref="A12:D26" xr:uid="{93B9FDA8-428F-476D-9993-DDB17573CCE8}"/>
  <tableColumns count="4">
    <tableColumn id="1" xr3:uid="{85E85BA6-2E58-4830-9EBB-FB1DC43E05EB}" name="Source" totalsRowLabel="Total" dataDxfId="448" totalsRowDxfId="449"/>
    <tableColumn id="2" xr3:uid="{086C3E61-63B7-4EC7-B077-C9E77BA22891}" name="Planned" totalsRowFunction="custom" dataDxfId="446" totalsRowDxfId="447">
      <totalsRowFormula>SUM(B13:B26)</totalsRowFormula>
    </tableColumn>
    <tableColumn id="3" xr3:uid="{83FA634B-4A3E-41CC-8A75-0D697FA56ED0}" name="Actual" totalsRowFunction="custom" dataDxfId="444" totalsRowDxfId="445">
      <totalsRowFormula>SUM(Income_6[Actual])</totalsRowFormula>
    </tableColumn>
    <tableColumn id="4" xr3:uid="{40FD748F-D775-4A34-9DB6-8E3C53A4F675}" name="Left" totalsRowFunction="sum" dataDxfId="442" totalsRowDxfId="443"/>
  </tableColumns>
  <tableStyleInfo name="Table Style Mine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4BB9440-C631-45EF-AC5F-3BBF971475EE}" name="Expenses_6" displayName="Expenses_6" ref="F12:I27" totalsRowCount="1" headerRowDxfId="441" totalsRowDxfId="440" headerRowBorderDxfId="438" tableBorderDxfId="439" totalsRowBorderDxfId="437">
  <autoFilter ref="F12:I26" xr:uid="{24A8353D-9D5D-42AC-A175-10AA233D4CCC}"/>
  <tableColumns count="4">
    <tableColumn id="1" xr3:uid="{A209A969-9D4B-45FF-819C-3CA8F596FA2A}" name="Category" totalsRowLabel="Total" dataDxfId="435" totalsRowDxfId="436"/>
    <tableColumn id="2" xr3:uid="{C1667E64-CA13-469D-8568-FAA3481F6EBD}" name="Planned" totalsRowFunction="custom" dataDxfId="433" totalsRowDxfId="434" dataCellStyle="Currency">
      <totalsRowFormula>SUM(G13:G26)</totalsRowFormula>
    </tableColumn>
    <tableColumn id="3" xr3:uid="{16D66B56-07D8-4184-9E8C-B1C7E3F7E940}" name="Actual" totalsRowFunction="custom" dataDxfId="431" totalsRowDxfId="432" dataCellStyle="Currency">
      <totalsRowFormula>SUM(H13:H26)</totalsRowFormula>
    </tableColumn>
    <tableColumn id="4" xr3:uid="{B822EB46-96A4-40DE-B529-E4ED6193A810}" name="Left" totalsRowFunction="sum" dataDxfId="429" totalsRowDxfId="430" dataCellStyle="Currency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B0FD8A7-903A-4A5C-A9D7-6B0D4E7B2FDA}" name="Bills_6" displayName="Bills_6" ref="K12:N27" totalsRowCount="1" headerRowDxfId="428" totalsRowDxfId="427" headerRowBorderDxfId="425" tableBorderDxfId="426" totalsRowBorderDxfId="424">
  <autoFilter ref="K12:N26" xr:uid="{EB5C5F31-13A9-4CEA-9193-37475751E1DB}"/>
  <tableColumns count="4">
    <tableColumn id="1" xr3:uid="{D445506B-0085-49E0-8089-0D2AEAD15B0C}" name="Bill" totalsRowLabel="Total" dataDxfId="422" totalsRowDxfId="423"/>
    <tableColumn id="2" xr3:uid="{AA75745F-2B4C-4141-92F0-934E6AFF9D26}" name="Due" dataDxfId="420" totalsRowDxfId="421"/>
    <tableColumn id="3" xr3:uid="{4369A4AD-7111-4F13-91EA-BF096A5645B0}" name="Planned" totalsRowFunction="custom" dataDxfId="418" totalsRowDxfId="419" dataCellStyle="Currency">
      <totalsRowFormula>SUM(M13:M26)</totalsRowFormula>
    </tableColumn>
    <tableColumn id="4" xr3:uid="{3925B934-2AF1-4394-BD47-EF022D3D6814}" name="Actual" totalsRowFunction="count" dataDxfId="416" totalsRowDxfId="417" dataCellStyle="Currency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9EE3085-42A7-4496-8D93-A82A9ACB76B7}" name="Subscriptions_6" displayName="Subscriptions_6" ref="P12:S27" totalsRowCount="1" headerRowDxfId="415" totalsRowDxfId="414" headerRowBorderDxfId="412" tableBorderDxfId="413" totalsRowBorderDxfId="411">
  <autoFilter ref="P12:S26" xr:uid="{0E7F0D9A-AB58-44A4-9409-811D7CF48231}"/>
  <tableColumns count="4">
    <tableColumn id="1" xr3:uid="{4A9E660E-51FB-47AB-9E98-F5A75808CE11}" name="Service" totalsRowLabel="Total" dataDxfId="409" totalsRowDxfId="410"/>
    <tableColumn id="2" xr3:uid="{8D389A10-8379-4155-B338-0C7D4404F025}" name="Due" dataDxfId="407" totalsRowDxfId="408"/>
    <tableColumn id="3" xr3:uid="{6D59D8AA-3658-4ECF-8CED-85EBAFF581B8}" name="Planned" totalsRowFunction="custom" dataDxfId="405" totalsRowDxfId="406">
      <totalsRowFormula>SUM(R13:R26)</totalsRowFormula>
    </tableColumn>
    <tableColumn id="4" xr3:uid="{500CACAA-FB8E-45B1-9840-A560653152F6}" name="Actual" totalsRowFunction="count" dataDxfId="403" totalsRowDxfId="404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B3837ED-7B27-4D2F-894B-649CD0649219}" name="Savings_6" displayName="Savings_6" ref="U12:X27" totalsRowCount="1" headerRowDxfId="402" totalsRowDxfId="401" headerRowBorderDxfId="399" tableBorderDxfId="400" totalsRowBorderDxfId="398">
  <autoFilter ref="U12:X26" xr:uid="{B4BF81A8-B423-4B5B-B86F-3F525C6B18A9}"/>
  <tableColumns count="4">
    <tableColumn id="1" xr3:uid="{580EE571-A849-4261-BBB6-9A51626418F7}" name="Aim" totalsRowLabel="Total" dataDxfId="396" totalsRowDxfId="397"/>
    <tableColumn id="2" xr3:uid="{A0DBCE00-D0BC-4F5B-8F17-89AD728345B7}" name="Planned" totalsRowFunction="custom" dataDxfId="394" totalsRowDxfId="395">
      <totalsRowFormula>SUM(V13:V26)</totalsRowFormula>
    </tableColumn>
    <tableColumn id="3" xr3:uid="{42B14F88-904A-4635-8CCD-6F63E93D7368}" name="Actual" totalsRowFunction="sum" dataDxfId="392" totalsRowDxfId="393"/>
    <tableColumn id="4" xr3:uid="{2907C63E-AE56-4C71-B79C-EFCCF92E127A}" name="Left" totalsRowFunction="custom" dataDxfId="390" totalsRowDxfId="391">
      <calculatedColumnFormula>Savings_6[[#This Row],[Planned]]-Savings_6[[#This Row],[Actual]]</calculatedColumnFormula>
      <totalsRowFormula>SUM(Savings_6[Left])</totalsRow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92FE6C0A-FA02-48E5-8164-C3ECDDF19770}" name="Income_7" displayName="Income_7" ref="A12:D27" totalsRowCount="1" headerRowDxfId="389" totalsRowDxfId="388" headerRowBorderDxfId="386" tableBorderDxfId="387" totalsRowBorderDxfId="385">
  <autoFilter ref="A12:D26" xr:uid="{93B9FDA8-428F-476D-9993-DDB17573CCE8}"/>
  <tableColumns count="4">
    <tableColumn id="1" xr3:uid="{EE1B82BE-9820-48D0-ACD5-B5D1339F6C7B}" name="Source" totalsRowLabel="Total" dataDxfId="383" totalsRowDxfId="384"/>
    <tableColumn id="2" xr3:uid="{A5A95343-B014-4322-9A4C-3C17B9AE570B}" name="Planned" totalsRowFunction="custom" dataDxfId="381" totalsRowDxfId="382">
      <totalsRowFormula>SUM(B13:B26)</totalsRowFormula>
    </tableColumn>
    <tableColumn id="3" xr3:uid="{0178D5AA-183F-4071-B5E5-6829B72F3BE2}" name="Actual" totalsRowFunction="custom" dataDxfId="379" totalsRowDxfId="380">
      <totalsRowFormula>SUM(Income_7[Actual])</totalsRowFormula>
    </tableColumn>
    <tableColumn id="4" xr3:uid="{00B0BF45-F732-4E78-89F9-6C94F668EA37}" name="Left" totalsRowFunction="sum" dataDxfId="377" totalsRowDxfId="378"/>
  </tableColumns>
  <tableStyleInfo name="Table Style Mine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4124B2F-E2C3-4B99-BDA0-9374AFCF0471}" name="Expenses_7" displayName="Expenses_7" ref="F12:I27" totalsRowCount="1" headerRowDxfId="376" totalsRowDxfId="375" headerRowBorderDxfId="373" tableBorderDxfId="374" totalsRowBorderDxfId="372">
  <autoFilter ref="F12:I26" xr:uid="{24A8353D-9D5D-42AC-A175-10AA233D4CCC}"/>
  <tableColumns count="4">
    <tableColumn id="1" xr3:uid="{27A5E121-DE6F-4C56-99FE-E7C1FAEF76AA}" name="Category" totalsRowLabel="Total" dataDxfId="370" totalsRowDxfId="371"/>
    <tableColumn id="2" xr3:uid="{1600B562-5F21-4C8F-88CA-CD546BA24B2A}" name="Planned" totalsRowFunction="custom" dataDxfId="368" totalsRowDxfId="369" dataCellStyle="Currency">
      <totalsRowFormula>SUM(G13:G26)</totalsRowFormula>
    </tableColumn>
    <tableColumn id="3" xr3:uid="{7651481B-29A4-40B8-BC79-75086EE5AEA1}" name="Actual" totalsRowFunction="custom" dataDxfId="366" totalsRowDxfId="367" dataCellStyle="Currency">
      <totalsRowFormula>SUM(H13:H26)</totalsRowFormula>
    </tableColumn>
    <tableColumn id="4" xr3:uid="{736F076B-3C1C-48CC-88FB-F18B42DA1A38}" name="Left" totalsRowFunction="sum" dataDxfId="364" totalsRowDxfId="365" dataCellStyle="Currency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513C4A43-D1F1-4262-843B-61B596FF90CB}" name="Bills_7" displayName="Bills_7" ref="K12:N27" totalsRowCount="1" headerRowDxfId="363" totalsRowDxfId="362" headerRowBorderDxfId="360" tableBorderDxfId="361" totalsRowBorderDxfId="359">
  <autoFilter ref="K12:N26" xr:uid="{EB5C5F31-13A9-4CEA-9193-37475751E1DB}"/>
  <tableColumns count="4">
    <tableColumn id="1" xr3:uid="{45AC1E6D-26D2-4636-813C-BDA0187397B5}" name="Bill" totalsRowLabel="Total" dataDxfId="357" totalsRowDxfId="358"/>
    <tableColumn id="2" xr3:uid="{3EB1752C-3601-468B-BE43-937DD8A52E92}" name="Due" dataDxfId="355" totalsRowDxfId="356"/>
    <tableColumn id="3" xr3:uid="{339A579F-0BA7-43F7-BDF9-B5D7EBFAE9B5}" name="Planned" totalsRowFunction="custom" dataDxfId="353" totalsRowDxfId="354" dataCellStyle="Currency">
      <totalsRowFormula>SUM(M13:M26)</totalsRowFormula>
    </tableColumn>
    <tableColumn id="4" xr3:uid="{3FD7F8C9-48A4-4C57-9438-304F203ACF25}" name="Actual" totalsRowFunction="count" dataDxfId="351" totalsRowDxfId="352" dataCellStyle="Currency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161A215-747F-433B-8191-1D2380188962}" name="Subscriptions_7" displayName="Subscriptions_7" ref="P12:S27" totalsRowCount="1" headerRowDxfId="350" totalsRowDxfId="349" headerRowBorderDxfId="347" tableBorderDxfId="348" totalsRowBorderDxfId="346">
  <autoFilter ref="P12:S26" xr:uid="{0E7F0D9A-AB58-44A4-9409-811D7CF48231}"/>
  <tableColumns count="4">
    <tableColumn id="1" xr3:uid="{6430F4BB-5F99-483B-B8C8-21041A410548}" name="Service" totalsRowLabel="Total" dataDxfId="344" totalsRowDxfId="345"/>
    <tableColumn id="2" xr3:uid="{11C6975E-79A9-4F4B-9E66-262301282950}" name="Due" dataDxfId="342" totalsRowDxfId="343"/>
    <tableColumn id="3" xr3:uid="{EC9B3B52-BF46-481A-ADDC-DCE7C60E01B4}" name="Planned" totalsRowFunction="custom" dataDxfId="340" totalsRowDxfId="341">
      <totalsRowFormula>SUM(R13:R26)</totalsRowFormula>
    </tableColumn>
    <tableColumn id="4" xr3:uid="{E57EBC00-D7CF-43B4-88F4-B590950BD5CD}" name="Actual" totalsRowFunction="count" dataDxfId="338" totalsRowDxfId="339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462AE147-E8D2-4273-B204-C38DE00E3B6C}" name="Savings_7" displayName="Savings_7" ref="U12:X27" totalsRowCount="1" headerRowDxfId="337" totalsRowDxfId="336" headerRowBorderDxfId="334" tableBorderDxfId="335" totalsRowBorderDxfId="333">
  <autoFilter ref="U12:X26" xr:uid="{B4BF81A8-B423-4B5B-B86F-3F525C6B18A9}"/>
  <tableColumns count="4">
    <tableColumn id="1" xr3:uid="{5F089C80-6FE2-412C-AB8E-7BBE66EA6990}" name="Aim" totalsRowLabel="Total" dataDxfId="331" totalsRowDxfId="332"/>
    <tableColumn id="2" xr3:uid="{914DFE9E-A518-4FF9-95F8-DB0B45BCDBC9}" name="Planned" totalsRowFunction="custom" dataDxfId="329" totalsRowDxfId="330">
      <totalsRowFormula>SUM(V13:V26)</totalsRowFormula>
    </tableColumn>
    <tableColumn id="3" xr3:uid="{ACD9F0F4-176C-43BC-BD56-0311BBEC808A}" name="Actual" totalsRowFunction="sum" dataDxfId="327" totalsRowDxfId="328"/>
    <tableColumn id="4" xr3:uid="{FCC696E0-BD99-42AF-8A8C-CAA6619FBDA5}" name="Left" totalsRowFunction="custom" dataDxfId="325" totalsRowDxfId="326">
      <calculatedColumnFormula>Savings_7[[#This Row],[Planned]]-Savings_7[[#This Row],[Actual]]</calculatedColumnFormula>
      <totalsRowFormula>SUM(Savings_7[Left])</totalsRow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CA89EF5A-2C35-4942-8C7C-2639A7037BFC}" name="Income_8" displayName="Income_8" ref="A12:D27" totalsRowCount="1" headerRowDxfId="324" totalsRowDxfId="323" headerRowBorderDxfId="321" tableBorderDxfId="322" totalsRowBorderDxfId="320">
  <autoFilter ref="A12:D26" xr:uid="{93B9FDA8-428F-476D-9993-DDB17573CCE8}"/>
  <tableColumns count="4">
    <tableColumn id="1" xr3:uid="{FB4D62B8-4A72-4373-9589-16208BB9CE99}" name="Source" totalsRowLabel="Total" dataDxfId="318" totalsRowDxfId="319"/>
    <tableColumn id="2" xr3:uid="{A4310B73-963F-4B69-9793-B34041BB606D}" name="Planned" totalsRowFunction="custom" dataDxfId="316" totalsRowDxfId="317">
      <totalsRowFormula>SUM(B13:B26)</totalsRowFormula>
    </tableColumn>
    <tableColumn id="3" xr3:uid="{A2A11257-38E0-4A05-B60F-3773AEB4192B}" name="Actual" totalsRowFunction="custom" dataDxfId="314" totalsRowDxfId="315">
      <totalsRowFormula>SUM(Income_8[Actual])</totalsRowFormula>
    </tableColumn>
    <tableColumn id="4" xr3:uid="{C8903627-D9D6-4C8B-A325-A1086D5AFC1E}" name="Left" totalsRowFunction="sum" dataDxfId="312" totalsRowDxfId="313"/>
  </tableColumns>
  <tableStyleInfo name="Table Style Mine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69B84A50-9C99-4BFA-B8DA-A5501624F330}" name="Expenses_8" displayName="Expenses_8" ref="F12:I27" totalsRowCount="1" headerRowDxfId="311" totalsRowDxfId="310" headerRowBorderDxfId="308" tableBorderDxfId="309" totalsRowBorderDxfId="307">
  <autoFilter ref="F12:I26" xr:uid="{24A8353D-9D5D-42AC-A175-10AA233D4CCC}"/>
  <tableColumns count="4">
    <tableColumn id="1" xr3:uid="{2C5406FB-B8DD-4EE1-856C-8393BB76F0A9}" name="Category" totalsRowLabel="Total" dataDxfId="305" totalsRowDxfId="306"/>
    <tableColumn id="2" xr3:uid="{4940962A-D7CD-443F-BEAB-607C72276D83}" name="Planned" totalsRowFunction="custom" dataDxfId="303" totalsRowDxfId="304" dataCellStyle="Currency">
      <totalsRowFormula>SUM(G13:G26)</totalsRowFormula>
    </tableColumn>
    <tableColumn id="3" xr3:uid="{DFBF3B7E-1C2E-487A-8710-980547A0784B}" name="Actual" totalsRowFunction="custom" dataDxfId="301" totalsRowDxfId="302" dataCellStyle="Currency">
      <totalsRowFormula>SUM(H13:H26)</totalsRowFormula>
    </tableColumn>
    <tableColumn id="4" xr3:uid="{171DFB8D-8246-49EA-9D9C-DEB7A076DD1B}" name="Left" totalsRowFunction="sum" dataDxfId="299" totalsRowDxfId="300" dataCellStyle="Currency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1BC3BEA-595C-4B5D-BC36-6585CE41470F}" name="Bills_8" displayName="Bills_8" ref="K12:N27" totalsRowCount="1" headerRowDxfId="298" totalsRowDxfId="297" headerRowBorderDxfId="295" tableBorderDxfId="296" totalsRowBorderDxfId="294">
  <autoFilter ref="K12:N26" xr:uid="{EB5C5F31-13A9-4CEA-9193-37475751E1DB}"/>
  <tableColumns count="4">
    <tableColumn id="1" xr3:uid="{16829B2B-8E89-4930-AC9D-2BC419559521}" name="Bill" totalsRowLabel="Total" dataDxfId="292" totalsRowDxfId="293"/>
    <tableColumn id="2" xr3:uid="{64F6EDF2-9C2A-4E4A-B51C-29DF5E5D2DB4}" name="Due" dataDxfId="290" totalsRowDxfId="291"/>
    <tableColumn id="3" xr3:uid="{5C87935F-FC05-4BB3-A648-1163149DE7A8}" name="Planned" totalsRowFunction="custom" dataDxfId="288" totalsRowDxfId="289" dataCellStyle="Currency">
      <totalsRowFormula>SUM(M13:M26)</totalsRowFormula>
    </tableColumn>
    <tableColumn id="4" xr3:uid="{B59E7699-5F4D-471D-875D-B7203183AD91}" name="Actual" totalsRowFunction="count" dataDxfId="286" totalsRowDxfId="287" dataCellStyle="Currency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A2446803-92A1-4177-94EA-33961E899271}" name="Subscriptions_8" displayName="Subscriptions_8" ref="P12:S27" totalsRowCount="1" headerRowDxfId="285" totalsRowDxfId="284" headerRowBorderDxfId="282" tableBorderDxfId="283" totalsRowBorderDxfId="281">
  <autoFilter ref="P12:S26" xr:uid="{0E7F0D9A-AB58-44A4-9409-811D7CF48231}"/>
  <tableColumns count="4">
    <tableColumn id="1" xr3:uid="{1D08D5FC-2C8D-43DB-8BED-2B606C03E181}" name="Service" totalsRowLabel="Total" dataDxfId="279" totalsRowDxfId="280"/>
    <tableColumn id="2" xr3:uid="{208F6FD8-569A-4C5B-AD61-B6991BAA1822}" name="Due" dataDxfId="277" totalsRowDxfId="278"/>
    <tableColumn id="3" xr3:uid="{4DF7F9CF-5D27-4D3B-96E5-8CA814B350B8}" name="Planned" totalsRowFunction="custom" dataDxfId="275" totalsRowDxfId="276">
      <totalsRowFormula>SUM(R13:R26)</totalsRowFormula>
    </tableColumn>
    <tableColumn id="4" xr3:uid="{F0B9C6F9-72C7-4986-AFDC-53D25CF02464}" name="Actual" totalsRowFunction="count" dataDxfId="273" totalsRowDxfId="274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82FE3BC2-4B88-4FAD-BAC7-FF1FC570B24A}" name="Savings_8" displayName="Savings_8" ref="U12:X27" totalsRowCount="1" headerRowDxfId="272" totalsRowDxfId="271" headerRowBorderDxfId="269" tableBorderDxfId="270" totalsRowBorderDxfId="268">
  <autoFilter ref="U12:X26" xr:uid="{B4BF81A8-B423-4B5B-B86F-3F525C6B18A9}"/>
  <tableColumns count="4">
    <tableColumn id="1" xr3:uid="{567FA681-E6C3-4140-8C80-B27CC1569C3B}" name="Aim" totalsRowLabel="Total" dataDxfId="266" totalsRowDxfId="267"/>
    <tableColumn id="2" xr3:uid="{DFC40B2C-D93A-4E41-BC9A-7DE777724F0F}" name="Planned" totalsRowFunction="custom" dataDxfId="264" totalsRowDxfId="265">
      <totalsRowFormula>SUM(V13:V26)</totalsRowFormula>
    </tableColumn>
    <tableColumn id="3" xr3:uid="{A26B78D4-3048-4C9B-80BD-5F7921FCA16D}" name="Actual" totalsRowFunction="sum" dataDxfId="262" totalsRowDxfId="263"/>
    <tableColumn id="4" xr3:uid="{F21BF155-8A40-43CD-9916-F45F67899F87}" name="Left" totalsRowFunction="custom" dataDxfId="260" totalsRowDxfId="261">
      <calculatedColumnFormula>Savings_8[[#This Row],[Planned]]-Savings_8[[#This Row],[Actual]]</calculatedColumnFormula>
      <totalsRowFormula>SUM(Savings_8[Left])</totalsRow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62C55815-8EBF-49C0-95FE-4FCED0824A18}" name="Income_9" displayName="Income_9" ref="A12:D27" totalsRowCount="1" headerRowDxfId="259" totalsRowDxfId="258" headerRowBorderDxfId="256" tableBorderDxfId="257" totalsRowBorderDxfId="255">
  <autoFilter ref="A12:D26" xr:uid="{93B9FDA8-428F-476D-9993-DDB17573CCE8}"/>
  <tableColumns count="4">
    <tableColumn id="1" xr3:uid="{3443C240-AB4F-42FC-B408-7872EF060700}" name="Source" totalsRowLabel="Total" dataDxfId="253" totalsRowDxfId="254"/>
    <tableColumn id="2" xr3:uid="{6D052629-6D6C-4D6B-88BD-E819A9885A6F}" name="Planned" totalsRowFunction="custom" dataDxfId="251" totalsRowDxfId="252">
      <totalsRowFormula>SUM(B13:B26)</totalsRowFormula>
    </tableColumn>
    <tableColumn id="3" xr3:uid="{BC53D27E-DFA2-4C51-B171-E0380F98841A}" name="Actual" totalsRowFunction="custom" dataDxfId="249" totalsRowDxfId="250">
      <totalsRowFormula>SUM(Income_9[Actual])</totalsRowFormula>
    </tableColumn>
    <tableColumn id="4" xr3:uid="{8D80C159-46A0-4D6E-8797-316E37C2D9DA}" name="Left" totalsRowFunction="sum" dataDxfId="247" totalsRowDxfId="248"/>
  </tableColumns>
  <tableStyleInfo name="Table Style Mine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707E5DCA-075C-44D7-9E06-6DB9572BD636}" name="Expenses_9" displayName="Expenses_9" ref="F12:I27" totalsRowCount="1" headerRowDxfId="246" totalsRowDxfId="245" headerRowBorderDxfId="243" tableBorderDxfId="244" totalsRowBorderDxfId="242">
  <autoFilter ref="F12:I26" xr:uid="{24A8353D-9D5D-42AC-A175-10AA233D4CCC}"/>
  <tableColumns count="4">
    <tableColumn id="1" xr3:uid="{CA880754-FD49-4FC2-AD5B-CCB12459B6C6}" name="Category" totalsRowLabel="Total" dataDxfId="240" totalsRowDxfId="241"/>
    <tableColumn id="2" xr3:uid="{29FB2997-DFE3-402F-BCEA-98B638BAB9DA}" name="Planned" totalsRowFunction="custom" dataDxfId="238" totalsRowDxfId="239" dataCellStyle="Currency">
      <totalsRowFormula>SUM(G13:G26)</totalsRowFormula>
    </tableColumn>
    <tableColumn id="3" xr3:uid="{5B0B9508-7963-4612-8F70-8CCDEB395CB7}" name="Actual" totalsRowFunction="custom" dataDxfId="236" totalsRowDxfId="237" dataCellStyle="Currency">
      <totalsRowFormula>SUM(H13:H26)</totalsRowFormula>
    </tableColumn>
    <tableColumn id="4" xr3:uid="{7D7902BB-8C9F-4AF0-9F5E-787D8FE8FF73}" name="Left" totalsRowFunction="sum" dataDxfId="234" totalsRowDxfId="235" dataCellStyle="Currency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334336E3-8176-48DC-AA15-99C9EF32BC4D}" name="Bills_9" displayName="Bills_9" ref="K12:N27" totalsRowCount="1" headerRowDxfId="233" totalsRowDxfId="232" headerRowBorderDxfId="230" tableBorderDxfId="231" totalsRowBorderDxfId="229">
  <autoFilter ref="K12:N26" xr:uid="{EB5C5F31-13A9-4CEA-9193-37475751E1DB}"/>
  <tableColumns count="4">
    <tableColumn id="1" xr3:uid="{C3026288-6A15-4C5F-AF95-1E1AF5A52701}" name="Bill" totalsRowLabel="Total" dataDxfId="227" totalsRowDxfId="228"/>
    <tableColumn id="2" xr3:uid="{DF24D1FC-295B-4B82-A309-A7C473C81B59}" name="Due" dataDxfId="225" totalsRowDxfId="226"/>
    <tableColumn id="3" xr3:uid="{DCFB09F6-7D7B-419D-9713-1B7CA6175FBC}" name="Planned" totalsRowFunction="custom" dataDxfId="223" totalsRowDxfId="224" dataCellStyle="Currency">
      <totalsRowFormula>SUM(M13:M26)</totalsRowFormula>
    </tableColumn>
    <tableColumn id="4" xr3:uid="{D29E6BDC-408B-4AFF-891A-8B8592936052}" name="Actual" totalsRowFunction="count" dataDxfId="221" totalsRowDxfId="222" dataCellStyle="Currency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C7C58DA4-0548-460C-A7F7-47630362F457}" name="Subscriptions_9" displayName="Subscriptions_9" ref="P12:S27" totalsRowCount="1" headerRowDxfId="220" totalsRowDxfId="219" headerRowBorderDxfId="217" tableBorderDxfId="218" totalsRowBorderDxfId="216">
  <autoFilter ref="P12:S26" xr:uid="{0E7F0D9A-AB58-44A4-9409-811D7CF48231}"/>
  <tableColumns count="4">
    <tableColumn id="1" xr3:uid="{E8A0DF31-A13A-4141-A119-CAF9BC7FE094}" name="Service" totalsRowLabel="Total" dataDxfId="214" totalsRowDxfId="215"/>
    <tableColumn id="2" xr3:uid="{EB65C568-87A4-4CD8-AAC1-28656B9335E7}" name="Due" dataDxfId="212" totalsRowDxfId="213"/>
    <tableColumn id="3" xr3:uid="{93548D61-C220-4F7B-B6B6-CA59BD11E8D3}" name="Planned" totalsRowFunction="custom" dataDxfId="210" totalsRowDxfId="211">
      <totalsRowFormula>SUM(R13:R26)</totalsRowFormula>
    </tableColumn>
    <tableColumn id="4" xr3:uid="{EDFF444E-D8DE-45D2-BC65-7A9E4F407097}" name="Actual" totalsRowFunction="count" dataDxfId="208" totalsRowDxfId="209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E52B3781-0ACF-4F0B-97F5-6AAE5C5A8A50}" name="Savings_9" displayName="Savings_9" ref="U12:X27" totalsRowCount="1" headerRowDxfId="207" totalsRowDxfId="206" headerRowBorderDxfId="204" tableBorderDxfId="205" totalsRowBorderDxfId="203">
  <autoFilter ref="U12:X26" xr:uid="{B4BF81A8-B423-4B5B-B86F-3F525C6B18A9}"/>
  <tableColumns count="4">
    <tableColumn id="1" xr3:uid="{B1CAF976-EAE4-4964-BDC6-AF500C4450EF}" name="Aim" totalsRowLabel="Total" dataDxfId="201" totalsRowDxfId="202"/>
    <tableColumn id="2" xr3:uid="{6D009E88-C770-4F0C-BC06-E7C1DEAD4B16}" name="Planned" totalsRowFunction="custom" dataDxfId="199" totalsRowDxfId="200">
      <totalsRowFormula>SUM(V13:V26)</totalsRowFormula>
    </tableColumn>
    <tableColumn id="3" xr3:uid="{30E52439-CD59-4D05-883E-EAEE2D9AE7ED}" name="Actual" totalsRowFunction="sum" dataDxfId="197" totalsRowDxfId="198"/>
    <tableColumn id="4" xr3:uid="{1EE43831-D0E4-41CF-AA67-813FD0ACDBCC}" name="Left" totalsRowFunction="custom" dataDxfId="195" totalsRowDxfId="196">
      <calculatedColumnFormula>Savings_9[[#This Row],[Planned]]-Savings_9[[#This Row],[Actual]]</calculatedColumnFormula>
      <totalsRowFormula>SUM(Savings_9[Left])</totalsRowFormula>
    </tableColumn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7435CE45-5D2D-42F3-83B0-4C0C29FCFF3C}" name="Income_10" displayName="Income_10" ref="A12:D27" totalsRowCount="1" headerRowDxfId="194" totalsRowDxfId="193" headerRowBorderDxfId="191" tableBorderDxfId="192" totalsRowBorderDxfId="190">
  <autoFilter ref="A12:D26" xr:uid="{93B9FDA8-428F-476D-9993-DDB17573CCE8}"/>
  <tableColumns count="4">
    <tableColumn id="1" xr3:uid="{E8772B72-02B6-4264-B5C8-A68CDE46EA14}" name="Source" totalsRowLabel="Total" dataDxfId="188" totalsRowDxfId="189"/>
    <tableColumn id="2" xr3:uid="{BE0F3B51-6C24-4065-91A0-21A43B399A30}" name="Planned" totalsRowFunction="custom" dataDxfId="186" totalsRowDxfId="187">
      <totalsRowFormula>SUM(B13:B26)</totalsRowFormula>
    </tableColumn>
    <tableColumn id="3" xr3:uid="{C542B35C-665D-4624-B565-0ECC279FBDA6}" name="Actual" totalsRowFunction="custom" dataDxfId="184" totalsRowDxfId="185">
      <totalsRowFormula>SUM(Income_10[Actual])</totalsRowFormula>
    </tableColumn>
    <tableColumn id="4" xr3:uid="{149B02B2-875C-44A1-8708-065FE58C1E51}" name="Left" totalsRowFunction="sum" dataDxfId="182" totalsRowDxfId="183"/>
  </tableColumns>
  <tableStyleInfo name="Table Style Mine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6A522A67-09EE-4680-A154-1068AFE65265}" name="Expenses_10" displayName="Expenses_10" ref="F12:I27" totalsRowCount="1" headerRowDxfId="181" totalsRowDxfId="180" headerRowBorderDxfId="178" tableBorderDxfId="179" totalsRowBorderDxfId="177">
  <autoFilter ref="F12:I26" xr:uid="{24A8353D-9D5D-42AC-A175-10AA233D4CCC}"/>
  <tableColumns count="4">
    <tableColumn id="1" xr3:uid="{D82624BA-CD4C-45CB-ADAD-47A2E1CC13E4}" name="Category" totalsRowLabel="Total" dataDxfId="175" totalsRowDxfId="176"/>
    <tableColumn id="2" xr3:uid="{88D3A83D-0D46-4131-BEAF-46C25D30BBA5}" name="Planned" totalsRowFunction="custom" dataDxfId="173" totalsRowDxfId="174" dataCellStyle="Currency">
      <totalsRowFormula>SUM(G13:G26)</totalsRowFormula>
    </tableColumn>
    <tableColumn id="3" xr3:uid="{96AC770F-DF53-406E-A71D-19784EE78D01}" name="Actual" totalsRowFunction="custom" dataDxfId="171" totalsRowDxfId="172" dataCellStyle="Currency">
      <totalsRowFormula>SUM(H13:H26)</totalsRowFormula>
    </tableColumn>
    <tableColumn id="4" xr3:uid="{8368224E-22D5-45C3-A51F-5F81DD352904}" name="Left" totalsRowFunction="sum" dataDxfId="169" totalsRowDxfId="170" dataCellStyle="Currency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1E3C160-FC2F-4101-A33E-644E54C37F29}" name="Bills_10" displayName="Bills_10" ref="K12:N27" totalsRowCount="1" headerRowDxfId="168" totalsRowDxfId="167" headerRowBorderDxfId="165" tableBorderDxfId="166" totalsRowBorderDxfId="164">
  <autoFilter ref="K12:N26" xr:uid="{EB5C5F31-13A9-4CEA-9193-37475751E1DB}"/>
  <tableColumns count="4">
    <tableColumn id="1" xr3:uid="{9F1E8701-4E30-44AB-8813-6B57F28A413B}" name="Bill" totalsRowLabel="Total" dataDxfId="162" totalsRowDxfId="163"/>
    <tableColumn id="2" xr3:uid="{DEDC27ED-6283-46C0-9FEA-5F05A0C89F15}" name="Due" dataDxfId="160" totalsRowDxfId="161"/>
    <tableColumn id="3" xr3:uid="{DDD3C7F2-92D3-4D71-9CF9-DCE299E3919E}" name="Planned" totalsRowFunction="custom" dataDxfId="158" totalsRowDxfId="159" dataCellStyle="Currency">
      <totalsRowFormula>SUM(M13:M26)</totalsRowFormula>
    </tableColumn>
    <tableColumn id="4" xr3:uid="{162947D6-898E-4069-87BB-6B2670A77FAF}" name="Actual" totalsRowFunction="count" dataDxfId="156" totalsRowDxfId="157" dataCellStyle="Currency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A08F86C5-AED1-476A-B68B-4CDE8A60CDC6}" name="Subscriptions_10" displayName="Subscriptions_10" ref="P12:S27" totalsRowCount="1" headerRowDxfId="155" totalsRowDxfId="154" headerRowBorderDxfId="152" tableBorderDxfId="153" totalsRowBorderDxfId="151">
  <autoFilter ref="P12:S26" xr:uid="{0E7F0D9A-AB58-44A4-9409-811D7CF48231}"/>
  <tableColumns count="4">
    <tableColumn id="1" xr3:uid="{0463BA7F-FA35-4029-8011-43D10C5FFC34}" name="Service" totalsRowLabel="Total" dataDxfId="149" totalsRowDxfId="150"/>
    <tableColumn id="2" xr3:uid="{6E9B97C9-2DA2-4428-BE5F-4EAF29A7FE8F}" name="Due" dataDxfId="147" totalsRowDxfId="148"/>
    <tableColumn id="3" xr3:uid="{0CA328C9-166A-4177-82CE-2B1BFD1553D6}" name="Planned" totalsRowFunction="custom" dataDxfId="145" totalsRowDxfId="146">
      <totalsRowFormula>SUM(R13:R26)</totalsRowFormula>
    </tableColumn>
    <tableColumn id="4" xr3:uid="{2F00902E-B0CB-42E5-88DB-8BDD91E564C2}" name="Actual" totalsRowFunction="count" dataDxfId="143" totalsRowDxfId="144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A858357A-8D1E-45BD-BCF4-950BDC06C50E}" name="Savings_10" displayName="Savings_10" ref="U12:X27" totalsRowCount="1" headerRowDxfId="142" totalsRowDxfId="141" headerRowBorderDxfId="139" tableBorderDxfId="140" totalsRowBorderDxfId="138">
  <autoFilter ref="U12:X26" xr:uid="{B4BF81A8-B423-4B5B-B86F-3F525C6B18A9}"/>
  <tableColumns count="4">
    <tableColumn id="1" xr3:uid="{9F704020-E19E-460D-AE03-6EB83DB1844E}" name="Aim" totalsRowLabel="Total" dataDxfId="136" totalsRowDxfId="137"/>
    <tableColumn id="2" xr3:uid="{446B5CF8-D871-41C4-A65A-3199B81F55CD}" name="Planned" totalsRowFunction="custom" dataDxfId="134" totalsRowDxfId="135">
      <totalsRowFormula>SUM(V13:V26)</totalsRowFormula>
    </tableColumn>
    <tableColumn id="3" xr3:uid="{6FA5A23D-9FAB-41CC-9EF3-A449C1DA1506}" name="Actual" totalsRowFunction="sum" dataDxfId="132" totalsRowDxfId="133"/>
    <tableColumn id="4" xr3:uid="{5180AF31-06BA-40DE-910C-60A82C677EF6}" name="Left" totalsRowFunction="custom" dataDxfId="130" totalsRowDxfId="131">
      <calculatedColumnFormula>Savings_10[[#This Row],[Planned]]-Savings_10[[#This Row],[Actual]]</calculatedColumnFormula>
      <totalsRowFormula>SUM(Savings_10[Left])</totalsRowFormula>
    </tableColumn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9F45487-666F-4518-9BEE-50FB41C9B473}" name="Income_11" displayName="Income_11" ref="A12:D27" totalsRowCount="1" headerRowDxfId="129" totalsRowDxfId="128" headerRowBorderDxfId="126" tableBorderDxfId="127" totalsRowBorderDxfId="125">
  <autoFilter ref="A12:D26" xr:uid="{93B9FDA8-428F-476D-9993-DDB17573CCE8}"/>
  <tableColumns count="4">
    <tableColumn id="1" xr3:uid="{DFB051CF-47AA-4BD2-948E-362AAE5439BE}" name="Source" totalsRowLabel="Total" dataDxfId="123" totalsRowDxfId="124"/>
    <tableColumn id="2" xr3:uid="{84BC47CF-6747-4A05-AA6B-6532A870BC69}" name="Planned" totalsRowFunction="custom" dataDxfId="121" totalsRowDxfId="122">
      <totalsRowFormula>SUM(B13:B26)</totalsRowFormula>
    </tableColumn>
    <tableColumn id="3" xr3:uid="{5043552B-6F31-491D-A776-24912F79F6FA}" name="Actual" totalsRowFunction="custom" dataDxfId="119" totalsRowDxfId="120">
      <totalsRowFormula>SUM(Income_11[Actual])</totalsRowFormula>
    </tableColumn>
    <tableColumn id="4" xr3:uid="{BB940D99-91E0-4753-8F09-2700E26A0349}" name="Left" totalsRowFunction="sum" dataDxfId="117" totalsRowDxfId="118"/>
  </tableColumns>
  <tableStyleInfo name="Table Style Mine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BF7826F-74DD-4865-8388-ABD0B8EA8B1F}" name="Expenses_11" displayName="Expenses_11" ref="F12:I27" totalsRowCount="1" headerRowDxfId="116" totalsRowDxfId="115" headerRowBorderDxfId="113" tableBorderDxfId="114" totalsRowBorderDxfId="112">
  <autoFilter ref="F12:I26" xr:uid="{24A8353D-9D5D-42AC-A175-10AA233D4CCC}"/>
  <tableColumns count="4">
    <tableColumn id="1" xr3:uid="{8A6A5D23-F148-4583-BFAA-DD0B3F8B2B31}" name="Category" totalsRowLabel="Total" dataDxfId="110" totalsRowDxfId="111"/>
    <tableColumn id="2" xr3:uid="{F34DDF04-1480-41D3-A091-132CAE045116}" name="Planned" totalsRowFunction="custom" dataDxfId="108" totalsRowDxfId="109" dataCellStyle="Currency">
      <totalsRowFormula>SUM(G13:G26)</totalsRowFormula>
    </tableColumn>
    <tableColumn id="3" xr3:uid="{5221326F-59CE-46F8-88E6-D46532EF40C6}" name="Actual" totalsRowFunction="custom" dataDxfId="106" totalsRowDxfId="107" dataCellStyle="Currency">
      <totalsRowFormula>SUM(H13:H26)</totalsRowFormula>
    </tableColumn>
    <tableColumn id="4" xr3:uid="{B5BB5217-B116-47FC-9192-36FF4C9ED175}" name="Left" totalsRowFunction="sum" dataDxfId="104" totalsRowDxfId="105" dataCellStyle="Currency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68EB7D8D-D6A1-4A9F-A179-0DDD6383483E}" name="Bills_11" displayName="Bills_11" ref="K12:N27" totalsRowCount="1" headerRowDxfId="103" totalsRowDxfId="102" headerRowBorderDxfId="100" tableBorderDxfId="101" totalsRowBorderDxfId="99">
  <autoFilter ref="K12:N26" xr:uid="{EB5C5F31-13A9-4CEA-9193-37475751E1DB}"/>
  <tableColumns count="4">
    <tableColumn id="1" xr3:uid="{5A221229-EACA-4002-81C1-919820A06689}" name="Bill" totalsRowLabel="Total" dataDxfId="97" totalsRowDxfId="98"/>
    <tableColumn id="2" xr3:uid="{5DAEFDA4-0E44-42A0-B046-14CB0CF5260F}" name="Due" dataDxfId="95" totalsRowDxfId="96"/>
    <tableColumn id="3" xr3:uid="{1A1792D6-D94A-46DC-A3AF-1CAAE8F52299}" name="Planned" totalsRowFunction="custom" dataDxfId="93" totalsRowDxfId="94" dataCellStyle="Currency">
      <totalsRowFormula>SUM(M13:M26)</totalsRowFormula>
    </tableColumn>
    <tableColumn id="4" xr3:uid="{A647EC25-0E64-4820-BB7E-BF55CF062F36}" name="Actual" totalsRowFunction="count" dataDxfId="91" totalsRowDxfId="92" dataCellStyle="Currency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F9FEDDF1-2D0E-4E76-90AE-436FCE2F262F}" name="Subscriptions_11" displayName="Subscriptions_11" ref="P12:S27" totalsRowCount="1" headerRowDxfId="90" totalsRowDxfId="89" headerRowBorderDxfId="87" tableBorderDxfId="88" totalsRowBorderDxfId="86">
  <autoFilter ref="P12:S26" xr:uid="{0E7F0D9A-AB58-44A4-9409-811D7CF48231}"/>
  <tableColumns count="4">
    <tableColumn id="1" xr3:uid="{E6C6AC73-04C2-4DD8-B42F-403D9A8A9BDE}" name="Service" totalsRowLabel="Total" dataDxfId="84" totalsRowDxfId="85"/>
    <tableColumn id="2" xr3:uid="{BAF940A4-094E-4CA4-8217-8B11B1703800}" name="Due" dataDxfId="82" totalsRowDxfId="83"/>
    <tableColumn id="3" xr3:uid="{E7EB8902-8801-4460-A1BB-E8D21DCE17E0}" name="Planned" totalsRowFunction="custom" dataDxfId="80" totalsRowDxfId="81">
      <totalsRowFormula>SUM(R13:R26)</totalsRowFormula>
    </tableColumn>
    <tableColumn id="4" xr3:uid="{8D1CB8D1-026C-4EC1-B419-A8A8D3EAB151}" name="Actual" totalsRowFunction="count" dataDxfId="78" totalsRowDxfId="79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1A25F62D-444E-4783-BAEB-8F29FC368C1E}" name="Savings_11" displayName="Savings_11" ref="U12:X27" totalsRowCount="1" headerRowDxfId="77" totalsRowDxfId="76" headerRowBorderDxfId="74" tableBorderDxfId="75" totalsRowBorderDxfId="73">
  <autoFilter ref="U12:X26" xr:uid="{B4BF81A8-B423-4B5B-B86F-3F525C6B18A9}"/>
  <tableColumns count="4">
    <tableColumn id="1" xr3:uid="{89513D1C-6967-41F6-AE2E-255590D38DA9}" name="Aim" totalsRowLabel="Total" dataDxfId="71" totalsRowDxfId="72"/>
    <tableColumn id="2" xr3:uid="{3E199D5F-91B3-4E6B-AA2C-13CF2AC719EE}" name="Planned" totalsRowFunction="custom" dataDxfId="69" totalsRowDxfId="70">
      <totalsRowFormula>SUM(V13:V26)</totalsRowFormula>
    </tableColumn>
    <tableColumn id="3" xr3:uid="{28B0C352-4A64-4D9E-A9A8-E3ECBB58F51C}" name="Actual" totalsRowFunction="sum" dataDxfId="67" totalsRowDxfId="68"/>
    <tableColumn id="4" xr3:uid="{FAA52028-35A0-4A51-B097-EE7AD8E41951}" name="Left" totalsRowFunction="custom" dataDxfId="65" totalsRowDxfId="66">
      <calculatedColumnFormula>Savings_11[[#This Row],[Planned]]-Savings_11[[#This Row],[Actual]]</calculatedColumnFormula>
      <totalsRowFormula>SUM(Savings_11[Left])</totalsRowFormula>
    </tableColumn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D1E25624-438A-470C-B12E-C0B1EE29E3A0}" name="Income_12" displayName="Income_12" ref="A12:D27" totalsRowCount="1" headerRowDxfId="64" totalsRowDxfId="63" headerRowBorderDxfId="61" tableBorderDxfId="62" totalsRowBorderDxfId="60">
  <autoFilter ref="A12:D26" xr:uid="{93B9FDA8-428F-476D-9993-DDB17573CCE8}"/>
  <tableColumns count="4">
    <tableColumn id="1" xr3:uid="{7A3F9B19-BBBA-42BD-8CD1-488F3AF0CEDD}" name="Source" totalsRowLabel="Total" dataDxfId="58" totalsRowDxfId="59"/>
    <tableColumn id="2" xr3:uid="{3FD9ABC4-0255-4915-A425-2A54C12717A3}" name="Planned" totalsRowFunction="custom" dataDxfId="56" totalsRowDxfId="57">
      <totalsRowFormula>SUM(B13:B26)</totalsRowFormula>
    </tableColumn>
    <tableColumn id="3" xr3:uid="{A3CA2FA8-5D6D-4B1A-939B-72356E2CBFBD}" name="Actual" totalsRowFunction="custom" dataDxfId="54" totalsRowDxfId="55">
      <totalsRowFormula>SUM(Income_12[Actual])</totalsRowFormula>
    </tableColumn>
    <tableColumn id="4" xr3:uid="{5C1C9908-6BDB-4C76-95A4-BA11CDEFD187}" name="Left" totalsRowFunction="sum" dataDxfId="52" totalsRowDxfId="53"/>
  </tableColumns>
  <tableStyleInfo name="Table Style Mine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24E69CF2-E185-470E-9DA5-745C71A63E58}" name="Expenses_12" displayName="Expenses_12" ref="F12:I27" totalsRowCount="1" headerRowDxfId="51" totalsRowDxfId="50" headerRowBorderDxfId="48" tableBorderDxfId="49" totalsRowBorderDxfId="47">
  <autoFilter ref="F12:I26" xr:uid="{24A8353D-9D5D-42AC-A175-10AA233D4CCC}"/>
  <tableColumns count="4">
    <tableColumn id="1" xr3:uid="{2DC99535-3DB6-4199-B0AB-966311DE60E0}" name="Category" totalsRowLabel="Total" dataDxfId="45" totalsRowDxfId="46"/>
    <tableColumn id="2" xr3:uid="{53ADF057-552E-42F9-ABE0-FC6CC6883B3F}" name="Planned" totalsRowFunction="custom" dataDxfId="43" totalsRowDxfId="44" dataCellStyle="Currency">
      <totalsRowFormula>SUM(G13:G26)</totalsRowFormula>
    </tableColumn>
    <tableColumn id="3" xr3:uid="{E32116C2-78BF-47FF-8536-CEF61AD5C9A0}" name="Actual" totalsRowFunction="custom" dataDxfId="41" totalsRowDxfId="42" dataCellStyle="Currency">
      <totalsRowFormula>SUM(H13:H26)</totalsRowFormula>
    </tableColumn>
    <tableColumn id="4" xr3:uid="{22766DBF-CD2C-441B-9781-F41E484E0C3B}" name="Left" totalsRowFunction="sum" dataDxfId="39" totalsRowDxfId="40" dataCellStyle="Currency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21B03CC6-927D-415B-B235-971A948054BF}" name="Bills_12" displayName="Bills_12" ref="K12:N27" totalsRowCount="1" headerRowDxfId="38" totalsRowDxfId="37" headerRowBorderDxfId="35" tableBorderDxfId="36" totalsRowBorderDxfId="34">
  <autoFilter ref="K12:N26" xr:uid="{EB5C5F31-13A9-4CEA-9193-37475751E1DB}"/>
  <tableColumns count="4">
    <tableColumn id="1" xr3:uid="{25CC0D3A-991E-47B1-B1E3-833D26D64A59}" name="Bill" totalsRowLabel="Total" dataDxfId="32" totalsRowDxfId="33"/>
    <tableColumn id="2" xr3:uid="{7F7A0A93-109F-40EE-8252-5BE51E851DF8}" name="Due" dataDxfId="30" totalsRowDxfId="31"/>
    <tableColumn id="3" xr3:uid="{58D54BB8-629E-4B68-8C33-9BC5914965A7}" name="Planned" totalsRowFunction="custom" dataDxfId="28" totalsRowDxfId="29" dataCellStyle="Currency">
      <totalsRowFormula>SUM(M13:M26)</totalsRowFormula>
    </tableColumn>
    <tableColumn id="4" xr3:uid="{B00D7D44-6A8F-4BA1-BF18-4AAC0F5B19F7}" name="Actual" totalsRowFunction="count" dataDxfId="26" totalsRowDxfId="27" dataCellStyle="Currency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71BAE5CB-3B94-49C9-9976-5D4A2DC85A02}" name="Subscriptions_12" displayName="Subscriptions_12" ref="P12:S27" totalsRowCount="1" headerRowDxfId="25" totalsRowDxfId="24" headerRowBorderDxfId="22" tableBorderDxfId="23" totalsRowBorderDxfId="21">
  <autoFilter ref="P12:S26" xr:uid="{0E7F0D9A-AB58-44A4-9409-811D7CF48231}"/>
  <tableColumns count="4">
    <tableColumn id="1" xr3:uid="{9B4F8AE6-9613-4682-9A2A-EECCE6F3E367}" name="Service" totalsRowLabel="Total" dataDxfId="19" totalsRowDxfId="20"/>
    <tableColumn id="2" xr3:uid="{0C523D88-0EEA-48D1-8DC5-A41AB3A50AB4}" name="Due" dataDxfId="17" totalsRowDxfId="18"/>
    <tableColumn id="3" xr3:uid="{AAAA245A-9013-45B6-810F-BD28BA2CFF11}" name="Planned" totalsRowFunction="custom" dataDxfId="15" totalsRowDxfId="16">
      <totalsRowFormula>SUM(R13:R26)</totalsRowFormula>
    </tableColumn>
    <tableColumn id="4" xr3:uid="{B7852D23-5A54-456F-A978-86C3037E10AD}" name="Actual" totalsRowFunction="count" dataDxfId="13" totalsRowDxfId="14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25C23FCE-B486-455A-B124-053B03FFD4E3}" name="Savings_12" displayName="Savings_12" ref="U12:X27" totalsRowCount="1" headerRowDxfId="12" totalsRowDxfId="11" headerRowBorderDxfId="9" tableBorderDxfId="10" totalsRowBorderDxfId="8">
  <autoFilter ref="U12:X26" xr:uid="{B4BF81A8-B423-4B5B-B86F-3F525C6B18A9}"/>
  <tableColumns count="4">
    <tableColumn id="1" xr3:uid="{064EF89E-94CB-4D0C-9961-D9CC13956FFB}" name="Aim" totalsRowLabel="Total" dataDxfId="6" totalsRowDxfId="7"/>
    <tableColumn id="2" xr3:uid="{0EC87158-F3AA-427F-A72D-4D33D491526B}" name="Planned" totalsRowFunction="custom" dataDxfId="4" totalsRowDxfId="5">
      <totalsRowFormula>SUM(V13:V26)</totalsRowFormula>
    </tableColumn>
    <tableColumn id="3" xr3:uid="{4777E596-8BFF-4B0F-9D33-5CFF52EA89BA}" name="Actual" totalsRowFunction="sum" dataDxfId="2" totalsRowDxfId="3"/>
    <tableColumn id="4" xr3:uid="{8FB0126D-B896-4882-9C59-76CE2BFE88D1}" name="Left" totalsRowFunction="custom" dataDxfId="0" totalsRowDxfId="1">
      <calculatedColumnFormula>Savings_12[[#This Row],[Planned]]-Savings_12[[#This Row],[Actual]]</calculatedColumnFormula>
      <totalsRowFormula>SUM(Savings_12[Left])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Aspek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3.xm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drawing" Target="../drawings/drawing4.xm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drawing" Target="../drawings/drawing5.xml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drawing" Target="../drawings/drawing6.xml"/><Relationship Id="rId6" Type="http://schemas.openxmlformats.org/officeDocument/2006/relationships/table" Target="../tables/table30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drawing" Target="../drawings/drawing7.xml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drawing" Target="../drawings/drawing8.xml"/><Relationship Id="rId6" Type="http://schemas.openxmlformats.org/officeDocument/2006/relationships/table" Target="../tables/table40.xml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drawing" Target="../drawings/drawing9.xml"/><Relationship Id="rId6" Type="http://schemas.openxmlformats.org/officeDocument/2006/relationships/table" Target="../tables/table45.xml"/><Relationship Id="rId5" Type="http://schemas.openxmlformats.org/officeDocument/2006/relationships/table" Target="../tables/table44.xml"/><Relationship Id="rId4" Type="http://schemas.openxmlformats.org/officeDocument/2006/relationships/table" Target="../tables/table4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drawing" Target="../drawings/drawing10.xml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table" Target="../tables/table51.xml"/><Relationship Id="rId1" Type="http://schemas.openxmlformats.org/officeDocument/2006/relationships/drawing" Target="../drawings/drawing11.xml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2" Type="http://schemas.openxmlformats.org/officeDocument/2006/relationships/table" Target="../tables/table56.xml"/><Relationship Id="rId1" Type="http://schemas.openxmlformats.org/officeDocument/2006/relationships/drawing" Target="../drawings/drawing12.xml"/><Relationship Id="rId6" Type="http://schemas.openxmlformats.org/officeDocument/2006/relationships/table" Target="../tables/table60.xml"/><Relationship Id="rId5" Type="http://schemas.openxmlformats.org/officeDocument/2006/relationships/table" Target="../tables/table59.xml"/><Relationship Id="rId4" Type="http://schemas.openxmlformats.org/officeDocument/2006/relationships/table" Target="../tables/table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CB483-69A1-40A7-B143-580A9C6FC79C}">
  <sheetPr codeName="Sheet1"/>
  <dimension ref="A1:X27"/>
  <sheetViews>
    <sheetView tabSelected="1" zoomScale="115" zoomScaleNormal="115" workbookViewId="0">
      <selection activeCell="B3" sqref="B3"/>
    </sheetView>
  </sheetViews>
  <sheetFormatPr defaultColWidth="9.125" defaultRowHeight="21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>
      <c r="A1" s="79" t="s">
        <v>25</v>
      </c>
      <c r="B1" s="80"/>
      <c r="C1" s="80"/>
      <c r="D1" s="80"/>
      <c r="E1" s="12"/>
    </row>
    <row r="2" spans="1:24">
      <c r="A2" s="81" t="str" cm="1">
        <f t="array" aca="1" ref="A2" ca="1">RIGHT(CELL("filename",A1),LEN(CELL("filename",A1))-FIND("]",CELL("filename",A1)))</f>
        <v>1</v>
      </c>
      <c r="B2" s="82"/>
      <c r="C2" s="82"/>
      <c r="D2" s="82"/>
    </row>
    <row r="4" spans="1:24">
      <c r="B4" s="11" t="s">
        <v>6</v>
      </c>
      <c r="C4" s="11" t="s">
        <v>7</v>
      </c>
      <c r="D4" s="11" t="s">
        <v>26</v>
      </c>
      <c r="E4" s="13"/>
    </row>
    <row r="5" spans="1:24">
      <c r="A5" s="11" t="s">
        <v>46</v>
      </c>
      <c r="B5" s="9" cm="1">
        <f t="array" aca="1" ref="B5" ca="1">INDIRECT($A5&amp;"_1[[#Totals],["&amp;B$4&amp;"]]")</f>
        <v>5700</v>
      </c>
      <c r="C5" s="9" t="e" cm="1">
        <f t="array" aca="1" ref="C5" ca="1">INDIRECT($A5&amp;"_1[[#Totals],["&amp;C$4&amp;"]]")</f>
        <v>#REF!</v>
      </c>
      <c r="D5" s="9" t="e" cm="1">
        <f t="array" aca="1" ref="D5" ca="1">INDIRECT($A5&amp;"_1[[#Totals],["&amp;D$4&amp;"]]")</f>
        <v>#REF!</v>
      </c>
      <c r="E5" s="13"/>
    </row>
    <row r="6" spans="1:24">
      <c r="A6" s="11" t="s">
        <v>1</v>
      </c>
      <c r="B6" s="9" cm="1">
        <f t="array" aca="1" ref="B6" ca="1">INDIRECT($A6&amp;"_1[[#Totals],["&amp;B$4&amp;"]]")</f>
        <v>3795</v>
      </c>
      <c r="C6" s="9" t="e" cm="1">
        <f t="array" aca="1" ref="C6" ca="1">INDIRECT($A6&amp;"_1[[#Totals],["&amp;C$4&amp;"]]")</f>
        <v>#REF!</v>
      </c>
      <c r="D6" s="9" t="e" cm="1">
        <f t="array" aca="1" ref="D6" ca="1">INDIRECT($A6&amp;"_1[[#Totals],["&amp;D$4&amp;"]]")</f>
        <v>#REF!</v>
      </c>
      <c r="E6" s="13"/>
    </row>
    <row r="7" spans="1:2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>
      <c r="A9" s="11" t="s">
        <v>27</v>
      </c>
      <c r="B9" s="9">
        <f ca="1">B5-B6-B7</f>
        <v>0</v>
      </c>
      <c r="C9" s="9" t="e">
        <f t="shared" ref="C9" ca="1" si="0">C5-C6-C7</f>
        <v>#REF!</v>
      </c>
      <c r="D9" s="9" t="e">
        <f ca="1">D5+D6+D7</f>
        <v>#REF!</v>
      </c>
      <c r="E9" s="13"/>
    </row>
    <row r="11" spans="1:2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>
      <c r="A13" s="16" t="s">
        <v>12</v>
      </c>
      <c r="B13" s="7">
        <v>2500</v>
      </c>
      <c r="C13" s="7" t="e" cm="1">
        <f t="array" aca="1" ref="C13" ca="1">_xlfn.XLOOKUP(A13,INDIRECT("'Finanse 8.12.xlsx'!incomes_"&amp;$A$2&amp;"[Category]"),INDIRECT("'Finanse 8.12.xlsx'!incomes_"&amp;$A$2&amp;"[Total]"),0,0,1)</f>
        <v>#REF!</v>
      </c>
      <c r="D13" s="17" t="e">
        <f ca="1">C13-B13</f>
        <v>#REF!</v>
      </c>
      <c r="F13" s="21" t="s">
        <v>41</v>
      </c>
      <c r="G13" s="3">
        <v>1735</v>
      </c>
      <c r="H13" s="3" t="e" cm="1">
        <f t="array" aca="1" ref="H13" ca="1">-_xlfn.XLOOKUP(F13,INDIRECT("'Finanse 8.12.xlsx'!expenses_"&amp;$A$2&amp;"[Category]"),INDIRECT("'Finanse 8.12.xlsx'!expenses_"&amp;$A$2&amp;"[Total]"),0,0,1)</f>
        <v>#REF!</v>
      </c>
      <c r="I13" s="22" t="e">
        <f ca="1">G13-H13</f>
        <v>#REF!</v>
      </c>
      <c r="K13" s="29" t="s">
        <v>13</v>
      </c>
      <c r="L13" s="14">
        <f ca="1">DATE(2025,$A$2,10)</f>
        <v>45667</v>
      </c>
      <c r="M13" s="8">
        <v>1500</v>
      </c>
      <c r="N13" s="30"/>
      <c r="P13" s="38" t="s">
        <v>18</v>
      </c>
      <c r="Q13" s="15">
        <f ca="1">DATE(2025,$A$2,5)</f>
        <v>45662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Savings_1[[#This Row],[Planned]]-Savings_1[[#This Row],[Actual]]</f>
        <v>500</v>
      </c>
    </row>
    <row r="14" spans="1:24">
      <c r="A14" s="16" t="s">
        <v>28</v>
      </c>
      <c r="B14" s="7">
        <v>300</v>
      </c>
      <c r="C14" s="7" t="e" cm="1">
        <f t="array" aca="1" ref="C14" ca="1">_xlfn.XLOOKUP(A14,INDIRECT("'Finanse 8.12.xlsx'!incomes_"&amp;$A$2&amp;"[Category]"),INDIRECT("'Finanse 8.12.xlsx'!incomes_"&amp;$A$2&amp;"[Total]"),0,0,1)</f>
        <v>#REF!</v>
      </c>
      <c r="D14" s="17" t="e">
        <f t="shared" ref="D14:D18" ca="1" si="1">C14-B14</f>
        <v>#REF!</v>
      </c>
      <c r="F14" s="21" t="s">
        <v>31</v>
      </c>
      <c r="G14" s="3">
        <v>200</v>
      </c>
      <c r="H14" s="3" t="e" cm="1">
        <f t="array" aca="1" ref="H14" ca="1">-_xlfn.XLOOKUP(F14,INDIRECT("'Finanse 8.12.xlsx'!expenses_"&amp;$A$2&amp;"[Category]"),INDIRECT("'Finanse 8.12.xlsx'!expenses_"&amp;$A$2&amp;"[Total]"),0,0,1)</f>
        <v>#REF!</v>
      </c>
      <c r="I14" s="22" t="e">
        <f t="shared" ref="I14:I21" ca="1" si="2">G14-H14</f>
        <v>#REF!</v>
      </c>
      <c r="K14" s="29" t="s">
        <v>17</v>
      </c>
      <c r="L14" s="14">
        <f ca="1">DATE(2025,$A$2,15)</f>
        <v>45672</v>
      </c>
      <c r="M14" s="8">
        <v>80</v>
      </c>
      <c r="N14" s="30"/>
      <c r="P14" s="38" t="s">
        <v>14</v>
      </c>
      <c r="Q14" s="15">
        <f ca="1">DATE(2025,$A$2,24)</f>
        <v>45681</v>
      </c>
      <c r="R14" s="5">
        <v>33</v>
      </c>
      <c r="S14" s="39"/>
      <c r="U14" s="47" t="s">
        <v>39</v>
      </c>
      <c r="V14" s="9">
        <v>800</v>
      </c>
      <c r="W14" s="48"/>
      <c r="X14" s="9">
        <f>Savings_1[[#This Row],[Planned]]-Savings_1[[#This Row],[Actual]]</f>
        <v>800</v>
      </c>
    </row>
    <row r="15" spans="1:24">
      <c r="A15" s="16" t="s">
        <v>29</v>
      </c>
      <c r="B15" s="7">
        <v>500</v>
      </c>
      <c r="C15" s="7" t="e" cm="1">
        <f t="array" aca="1" ref="C15" ca="1">_xlfn.XLOOKUP(A15,INDIRECT("'Finanse 8.12.xlsx'!incomes_"&amp;$A$2&amp;"[Category]"),INDIRECT("'Finanse 8.12.xlsx'!incomes_"&amp;$A$2&amp;"[Total]"),0,0,1)</f>
        <v>#REF!</v>
      </c>
      <c r="D15" s="17" t="e">
        <f t="shared" ca="1" si="1"/>
        <v>#REF!</v>
      </c>
      <c r="F15" s="21" t="s">
        <v>23</v>
      </c>
      <c r="G15" s="3">
        <v>300</v>
      </c>
      <c r="H15" s="3" t="e" cm="1">
        <f t="array" aca="1" ref="H15" ca="1">-_xlfn.XLOOKUP(F15,INDIRECT("'Finanse 8.12.xlsx'!expenses_"&amp;$A$2&amp;"[Category]"),INDIRECT("'Finanse 8.12.xlsx'!expenses_"&amp;$A$2&amp;"[Total]"),0,0,1)</f>
        <v>#REF!</v>
      </c>
      <c r="I15" s="22" t="e">
        <f t="shared" ca="1" si="2"/>
        <v>#REF!</v>
      </c>
      <c r="K15" s="29" t="s">
        <v>20</v>
      </c>
      <c r="L15" s="14">
        <f t="shared" ref="L15:L16" ca="1" si="3">DATE(2025,$A$2,10)</f>
        <v>45667</v>
      </c>
      <c r="M15" s="8">
        <v>35</v>
      </c>
      <c r="N15" s="30"/>
      <c r="P15" s="38" t="s">
        <v>36</v>
      </c>
      <c r="Q15" s="15">
        <f ca="1">DATE(2025,$A$2,2)</f>
        <v>45659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Savings_1[[#This Row],[Planned]]-Savings_1[[#This Row],[Actual]]</f>
        <v>605</v>
      </c>
    </row>
    <row r="16" spans="1:24">
      <c r="A16" s="16" t="s">
        <v>40</v>
      </c>
      <c r="B16" s="7">
        <v>100</v>
      </c>
      <c r="C16" s="7" t="e" cm="1">
        <f t="array" aca="1" ref="C16" ca="1">_xlfn.XLOOKUP(A16,INDIRECT("'Finanse 8.12.xlsx'!incomes_"&amp;$A$2&amp;"[Category]"),INDIRECT("'Finanse 8.12.xlsx'!incomes_"&amp;$A$2&amp;"[Total]"),0,0,1)</f>
        <v>#REF!</v>
      </c>
      <c r="D16" s="17" t="e">
        <f t="shared" ca="1" si="1"/>
        <v>#REF!</v>
      </c>
      <c r="F16" s="21" t="s">
        <v>16</v>
      </c>
      <c r="G16" s="3">
        <v>750</v>
      </c>
      <c r="H16" s="3" t="e" cm="1">
        <f t="array" aca="1" ref="H16" ca="1">-_xlfn.XLOOKUP(F16,INDIRECT("'Finanse 8.12.xlsx'!expenses_"&amp;$A$2&amp;"[Category]"),INDIRECT("'Finanse 8.12.xlsx'!expenses_"&amp;$A$2&amp;"[Total]"),0,0,1)</f>
        <v>#REF!</v>
      </c>
      <c r="I16" s="22" t="e">
        <f t="shared" ca="1" si="2"/>
        <v>#REF!</v>
      </c>
      <c r="K16" s="29" t="s">
        <v>19</v>
      </c>
      <c r="L16" s="14">
        <f t="shared" ca="1" si="3"/>
        <v>45667</v>
      </c>
      <c r="M16" s="8">
        <v>25</v>
      </c>
      <c r="N16" s="30"/>
      <c r="P16" s="38" t="s">
        <v>21</v>
      </c>
      <c r="Q16" s="15">
        <f ca="1">DATE(2025,$A$2,21)</f>
        <v>45678</v>
      </c>
      <c r="R16" s="5">
        <v>100</v>
      </c>
      <c r="S16" s="39"/>
      <c r="U16" s="47"/>
      <c r="V16" s="9"/>
      <c r="W16" s="48"/>
      <c r="X16" s="9">
        <f>Savings_1[[#This Row],[Planned]]-Savings_1[[#This Row],[Actual]]</f>
        <v>0</v>
      </c>
    </row>
    <row r="17" spans="1:24">
      <c r="A17" s="16" t="s">
        <v>30</v>
      </c>
      <c r="B17" s="7">
        <v>1500</v>
      </c>
      <c r="C17" s="7" t="e" cm="1">
        <f t="array" aca="1" ref="C17" ca="1">_xlfn.XLOOKUP(A17,INDIRECT("'Finanse 8.12.xlsx'!incomes_"&amp;$A$2&amp;"[Category]"),INDIRECT("'Finanse 8.12.xlsx'!incomes_"&amp;$A$2&amp;"[Total]"),0,0,1)</f>
        <v>#REF!</v>
      </c>
      <c r="D17" s="17" t="e">
        <f t="shared" ca="1" si="1"/>
        <v>#REF!</v>
      </c>
      <c r="F17" s="21" t="s">
        <v>32</v>
      </c>
      <c r="G17" s="3">
        <v>130</v>
      </c>
      <c r="H17" s="3" t="e" cm="1">
        <f t="array" aca="1" ref="H17" ca="1">-_xlfn.XLOOKUP(F17,INDIRECT("'Finanse 8.12.xlsx'!expenses_"&amp;$A$2&amp;"[Category]"),INDIRECT("'Finanse 8.12.xlsx'!expenses_"&amp;$A$2&amp;"[Total]"),0,0,1)</f>
        <v>#REF!</v>
      </c>
      <c r="I17" s="22" t="e">
        <f t="shared" ca="1" si="2"/>
        <v>#REF!</v>
      </c>
      <c r="K17" s="29" t="s">
        <v>22</v>
      </c>
      <c r="L17" s="14">
        <f ca="1">DATE(2025,$A$2,28)</f>
        <v>45685</v>
      </c>
      <c r="M17" s="8">
        <v>35</v>
      </c>
      <c r="N17" s="30"/>
      <c r="P17" s="38" t="s">
        <v>37</v>
      </c>
      <c r="Q17" s="15">
        <f ca="1">DATE(2025,$A$2,12)</f>
        <v>45669</v>
      </c>
      <c r="R17" s="5">
        <v>42.69</v>
      </c>
      <c r="S17" s="39"/>
      <c r="U17" s="47"/>
      <c r="V17" s="9"/>
      <c r="W17" s="48"/>
      <c r="X17" s="9">
        <f>Savings_1[[#This Row],[Planned]]-Savings_1[[#This Row],[Actual]]</f>
        <v>0</v>
      </c>
    </row>
    <row r="18" spans="1:24">
      <c r="A18" s="16" t="s">
        <v>15</v>
      </c>
      <c r="B18" s="7">
        <v>800</v>
      </c>
      <c r="C18" s="7" t="e" cm="1">
        <f t="array" aca="1" ref="C18" ca="1">_xlfn.XLOOKUP(A18,INDIRECT("'Finanse 8.12.xlsx'!incomes_"&amp;$A$2&amp;"[Category]"),INDIRECT("'Finanse 8.12.xlsx'!incomes_"&amp;$A$2&amp;"[Total]"),0,0,1)</f>
        <v>#REF!</v>
      </c>
      <c r="D18" s="17" t="e">
        <f t="shared" ca="1" si="1"/>
        <v>#REF!</v>
      </c>
      <c r="F18" s="21" t="s">
        <v>33</v>
      </c>
      <c r="G18" s="3">
        <v>130</v>
      </c>
      <c r="H18" s="3" t="e" cm="1">
        <f t="array" aca="1" ref="H18" ca="1">-_xlfn.XLOOKUP(F18,INDIRECT("'Finanse 8.12.xlsx'!expenses_"&amp;$A$2&amp;"[Category]"),INDIRECT("'Finanse 8.12.xlsx'!expenses_"&amp;$A$2&amp;"[Total]"),0,0,1)</f>
        <v>#REF!</v>
      </c>
      <c r="I18" s="22" t="e">
        <f t="shared" ca="1" si="2"/>
        <v>#REF!</v>
      </c>
      <c r="K18" s="29" t="s">
        <v>24</v>
      </c>
      <c r="L18" s="14">
        <f ca="1">DATE(2025,$A$2,20)</f>
        <v>45677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Savings_1[[#This Row],[Planned]]-Savings_1[[#This Row],[Actual]]</f>
        <v>0</v>
      </c>
    </row>
    <row r="19" spans="1:24">
      <c r="A19" s="16"/>
      <c r="B19" s="7"/>
      <c r="C19" s="7"/>
      <c r="D19" s="17"/>
      <c r="E19" s="6"/>
      <c r="F19" s="21" t="s">
        <v>42</v>
      </c>
      <c r="G19" s="3">
        <v>200</v>
      </c>
      <c r="H19" s="3" t="e" cm="1">
        <f t="array" aca="1" ref="H19" ca="1">-_xlfn.XLOOKUP(F19,INDIRECT("'Finanse 8.12.xlsx'!expenses_"&amp;$A$2&amp;"[Category]"),INDIRECT("'Finanse 8.12.xlsx'!expenses_"&amp;$A$2&amp;"[Total]"),0,0,1)</f>
        <v>#REF!</v>
      </c>
      <c r="I19" s="22" t="e">
        <f t="shared" ca="1" si="2"/>
        <v>#REF!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Savings_1[[#This Row],[Planned]]-Savings_1[[#This Row],[Actual]]</f>
        <v>0</v>
      </c>
    </row>
    <row r="20" spans="1:24">
      <c r="A20" s="16"/>
      <c r="B20" s="7"/>
      <c r="C20" s="7"/>
      <c r="D20" s="17"/>
      <c r="F20" s="21" t="s">
        <v>34</v>
      </c>
      <c r="G20" s="3">
        <v>200</v>
      </c>
      <c r="H20" s="3" t="e" cm="1">
        <f t="array" aca="1" ref="H20" ca="1">-_xlfn.XLOOKUP(F20,INDIRECT("'Finanse 8.12.xlsx'!expenses_"&amp;$A$2&amp;"[Category]"),INDIRECT("'Finanse 8.12.xlsx'!expenses_"&amp;$A$2&amp;"[Total]"),0,0,1)</f>
        <v>#REF!</v>
      </c>
      <c r="I20" s="22" t="e">
        <f t="shared" ca="1" si="2"/>
        <v>#REF!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Savings_1[[#This Row],[Planned]]-Savings_1[[#This Row],[Actual]]</f>
        <v>0</v>
      </c>
    </row>
    <row r="21" spans="1:24">
      <c r="A21" s="16"/>
      <c r="B21" s="7"/>
      <c r="C21" s="7"/>
      <c r="D21" s="17"/>
      <c r="F21" s="21" t="s">
        <v>35</v>
      </c>
      <c r="G21" s="3">
        <v>150</v>
      </c>
      <c r="H21" s="3" t="e" cm="1">
        <f t="array" aca="1" ref="H21" ca="1">-_xlfn.XLOOKUP(F21,INDIRECT("'Finanse 8.12.xlsx'!expenses_"&amp;$A$2&amp;"[Category]"),INDIRECT("'Finanse 8.12.xlsx'!expenses_"&amp;$A$2&amp;"[Total]"),0,0,1)</f>
        <v>#REF!</v>
      </c>
      <c r="I21" s="22" t="e">
        <f t="shared" ca="1" si="2"/>
        <v>#REF!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Savings_1[[#This Row],[Planned]]-Savings_1[[#This Row],[Actual]]</f>
        <v>0</v>
      </c>
    </row>
    <row r="22" spans="1:2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Savings_1[[#This Row],[Planned]]-Savings_1[[#This Row],[Actual]]</f>
        <v>0</v>
      </c>
    </row>
    <row r="23" spans="1:2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Savings_1[[#This Row],[Planned]]-Savings_1[[#This Row],[Actual]]</f>
        <v>0</v>
      </c>
    </row>
    <row r="24" spans="1:2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Savings_1[[#This Row],[Planned]]-Savings_1[[#This Row],[Actual]]</f>
        <v>0</v>
      </c>
    </row>
    <row r="25" spans="1:2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Savings_1[[#This Row],[Planned]]-Savings_1[[#This Row],[Actual]]</f>
        <v>0</v>
      </c>
    </row>
    <row r="26" spans="1:2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Savings_1[[#This Row],[Planned]]-Savings_1[[#This Row],[Actual]]</f>
        <v>0</v>
      </c>
    </row>
    <row r="27" spans="1:24" ht="22.5">
      <c r="A27" s="61" t="s">
        <v>45</v>
      </c>
      <c r="B27" s="62">
        <f>SUM(B13:B26)</f>
        <v>5700</v>
      </c>
      <c r="C27" s="62" t="e">
        <f ca="1">SUM(Income_1[Actual])</f>
        <v>#REF!</v>
      </c>
      <c r="D27" s="63" t="e">
        <f ca="1">SUBTOTAL(109,Income_1[Left])</f>
        <v>#REF!</v>
      </c>
      <c r="F27" s="58" t="s">
        <v>45</v>
      </c>
      <c r="G27" s="59">
        <f>SUM(G13:G26)</f>
        <v>3795</v>
      </c>
      <c r="H27" s="59" t="e">
        <f ca="1">SUM(H13:H26)</f>
        <v>#REF!</v>
      </c>
      <c r="I27" s="60" t="e">
        <f ca="1">SUBTOTAL(109,Expenses_1[Left])</f>
        <v>#REF!</v>
      </c>
      <c r="K27" s="64" t="s">
        <v>45</v>
      </c>
      <c r="L27" s="65"/>
      <c r="M27" s="66">
        <f>SUM(M13:M26)</f>
        <v>1735</v>
      </c>
      <c r="N27" s="67">
        <f>SUBTOTAL(103,Bills_1[Actual])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SUBTOTAL(103,Subscriptions_1[Actual])</f>
        <v>0</v>
      </c>
      <c r="U27" s="72" t="s">
        <v>45</v>
      </c>
      <c r="V27" s="73">
        <f>SUM(V13:V26)</f>
        <v>1905</v>
      </c>
      <c r="W27" s="74">
        <f>SUBTOTAL(109,Savings_1[Actual])</f>
        <v>0</v>
      </c>
      <c r="X27" s="10">
        <f>SUM(Savings_1[Left])</f>
        <v>1905</v>
      </c>
    </row>
  </sheetData>
  <mergeCells count="7">
    <mergeCell ref="U11:X11"/>
    <mergeCell ref="P11:S11"/>
    <mergeCell ref="F11:I11"/>
    <mergeCell ref="A1:D1"/>
    <mergeCell ref="A2:D2"/>
    <mergeCell ref="A11:D11"/>
    <mergeCell ref="K11:N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765E-1B0B-4730-9FD6-21C59D2C5786}">
  <sheetPr codeName="Sheet2"/>
  <dimension ref="A1:X27"/>
  <sheetViews>
    <sheetView zoomScale="115" zoomScaleNormal="115" workbookViewId="0">
      <selection activeCell="B5" sqref="B5"/>
    </sheetView>
  </sheetViews>
  <sheetFormatPr defaultColWidth="9.125" defaultRowHeight="21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>
      <c r="A1" s="79" t="s">
        <v>25</v>
      </c>
      <c r="B1" s="80"/>
      <c r="C1" s="80"/>
      <c r="D1" s="80"/>
      <c r="E1" s="12"/>
    </row>
    <row r="2" spans="1:24">
      <c r="A2" s="81" t="str" cm="1">
        <f t="array" aca="1" ref="A2" ca="1">RIGHT(CELL("filename",A1),LEN(CELL("filename",A1))-FIND("]",CELL("filename",A1)))</f>
        <v>2</v>
      </c>
      <c r="B2" s="82"/>
      <c r="C2" s="82"/>
      <c r="D2" s="82"/>
    </row>
    <row r="4" spans="1:24">
      <c r="B4" s="11" t="s">
        <v>6</v>
      </c>
      <c r="C4" s="11" t="s">
        <v>7</v>
      </c>
      <c r="D4" s="11" t="s">
        <v>26</v>
      </c>
      <c r="E4" s="13"/>
    </row>
    <row r="5" spans="1:24">
      <c r="A5" s="11" t="s">
        <v>46</v>
      </c>
      <c r="B5" s="9" cm="1">
        <f t="array" aca="1" ref="B5" ca="1">INDIRECT($A5&amp;"_1[[#Totals],["&amp;B$4&amp;"]]")</f>
        <v>5700</v>
      </c>
      <c r="C5" s="9" t="e" cm="1">
        <f t="array" aca="1" ref="C5" ca="1">INDIRECT($A5&amp;"_1[[#Totals],["&amp;C$4&amp;"]]")</f>
        <v>#REF!</v>
      </c>
      <c r="D5" s="9" t="e" cm="1">
        <f t="array" aca="1" ref="D5" ca="1">INDIRECT($A5&amp;"_1[[#Totals],["&amp;D$4&amp;"]]")</f>
        <v>#REF!</v>
      </c>
      <c r="E5" s="13"/>
    </row>
    <row r="6" spans="1:24">
      <c r="A6" s="11" t="s">
        <v>1</v>
      </c>
      <c r="B6" s="9" cm="1">
        <f t="array" aca="1" ref="B6" ca="1">INDIRECT($A6&amp;"_1[[#Totals],["&amp;B$4&amp;"]]")</f>
        <v>3795</v>
      </c>
      <c r="C6" s="9" t="e" cm="1">
        <f t="array" aca="1" ref="C6" ca="1">INDIRECT($A6&amp;"_1[[#Totals],["&amp;C$4&amp;"]]")</f>
        <v>#REF!</v>
      </c>
      <c r="D6" s="9" t="e" cm="1">
        <f t="array" aca="1" ref="D6" ca="1">INDIRECT($A6&amp;"_1[[#Totals],["&amp;D$4&amp;"]]")</f>
        <v>#REF!</v>
      </c>
      <c r="E6" s="13"/>
    </row>
    <row r="7" spans="1:2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>
      <c r="A9" s="11" t="s">
        <v>27</v>
      </c>
      <c r="B9" s="9">
        <f ca="1">B5-B6-B7</f>
        <v>0</v>
      </c>
      <c r="C9" s="9" t="e">
        <f t="shared" ref="C9" ca="1" si="0">C5-C6-C7</f>
        <v>#REF!</v>
      </c>
      <c r="D9" s="9" t="e">
        <f ca="1">D5+D6+D7</f>
        <v>#REF!</v>
      </c>
      <c r="E9" s="13"/>
    </row>
    <row r="11" spans="1:2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>
      <c r="A13" s="16" t="s">
        <v>12</v>
      </c>
      <c r="B13" s="7">
        <v>2500</v>
      </c>
      <c r="C13" s="7" t="e" cm="1">
        <f t="array" aca="1" ref="C13" ca="1">_xlfn.XLOOKUP(A13,INDIRECT("'Finanse 8.12.xlsx'!incomes_"&amp;$A$2&amp;"[Category]"),INDIRECT("'Finanse 8.12.xlsx'!incomes_"&amp;$A$2&amp;"[Total]"),0,0,1)</f>
        <v>#REF!</v>
      </c>
      <c r="D13" s="17" t="e">
        <f ca="1">C13-B13</f>
        <v>#REF!</v>
      </c>
      <c r="F13" s="21" t="s">
        <v>41</v>
      </c>
      <c r="G13" s="3">
        <v>1735</v>
      </c>
      <c r="H13" s="3" t="e" cm="1">
        <f t="array" aca="1" ref="H13" ca="1">-_xlfn.XLOOKUP(F13,INDIRECT("'Finanse 8.12.xlsx'!expenses_"&amp;$A$2&amp;"[Category]"),INDIRECT("'Finanse 8.12.xlsx'!expenses_"&amp;$A$2&amp;"[Total]"),0,0,1)</f>
        <v>#REF!</v>
      </c>
      <c r="I13" s="22" t="e">
        <f ca="1">G13-H13</f>
        <v>#REF!</v>
      </c>
      <c r="K13" s="29" t="s">
        <v>13</v>
      </c>
      <c r="L13" s="14">
        <f ca="1">DATE(2025,$A$2,10)</f>
        <v>45698</v>
      </c>
      <c r="M13" s="8">
        <v>1500</v>
      </c>
      <c r="N13" s="30"/>
      <c r="P13" s="38" t="s">
        <v>18</v>
      </c>
      <c r="Q13" s="15">
        <f ca="1">DATE(2025,$A$2,5)</f>
        <v>45693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Savings_2[[#This Row],[Planned]]-Savings_2[[#This Row],[Actual]]</f>
        <v>500</v>
      </c>
    </row>
    <row r="14" spans="1:24">
      <c r="A14" s="16" t="s">
        <v>28</v>
      </c>
      <c r="B14" s="7">
        <v>300</v>
      </c>
      <c r="C14" s="7" t="e" cm="1">
        <f t="array" aca="1" ref="C14" ca="1">_xlfn.XLOOKUP(A14,INDIRECT("'Finanse 8.12.xlsx'!incomes_"&amp;$A$2&amp;"[Category]"),INDIRECT("'Finanse 8.12.xlsx'!incomes_"&amp;$A$2&amp;"[Total]"),0,0,1)</f>
        <v>#REF!</v>
      </c>
      <c r="D14" s="17" t="e">
        <f t="shared" ref="D14:D18" ca="1" si="1">C14-B14</f>
        <v>#REF!</v>
      </c>
      <c r="F14" s="21" t="s">
        <v>31</v>
      </c>
      <c r="G14" s="3">
        <v>200</v>
      </c>
      <c r="H14" s="3" t="e" cm="1">
        <f t="array" aca="1" ref="H14" ca="1">-_xlfn.XLOOKUP(F14,INDIRECT("'Finanse 8.12.xlsx'!expenses_"&amp;$A$2&amp;"[Category]"),INDIRECT("'Finanse 8.12.xlsx'!expenses_"&amp;$A$2&amp;"[Total]"),0,0,1)</f>
        <v>#REF!</v>
      </c>
      <c r="I14" s="22" t="e">
        <f t="shared" ref="I14:I21" ca="1" si="2">G14-H14</f>
        <v>#REF!</v>
      </c>
      <c r="K14" s="29" t="s">
        <v>17</v>
      </c>
      <c r="L14" s="14">
        <f ca="1">DATE(2025,$A$2,15)</f>
        <v>45703</v>
      </c>
      <c r="M14" s="8">
        <v>80</v>
      </c>
      <c r="N14" s="30"/>
      <c r="P14" s="38" t="s">
        <v>14</v>
      </c>
      <c r="Q14" s="15">
        <f ca="1">DATE(2025,$A$2,24)</f>
        <v>45712</v>
      </c>
      <c r="R14" s="5">
        <v>33</v>
      </c>
      <c r="S14" s="39"/>
      <c r="U14" s="47" t="s">
        <v>39</v>
      </c>
      <c r="V14" s="9">
        <v>800</v>
      </c>
      <c r="W14" s="48"/>
      <c r="X14" s="9">
        <f>Savings_2[[#This Row],[Planned]]-Savings_2[[#This Row],[Actual]]</f>
        <v>800</v>
      </c>
    </row>
    <row r="15" spans="1:24">
      <c r="A15" s="16" t="s">
        <v>29</v>
      </c>
      <c r="B15" s="7">
        <v>500</v>
      </c>
      <c r="C15" s="7" t="e" cm="1">
        <f t="array" aca="1" ref="C15" ca="1">_xlfn.XLOOKUP(A15,INDIRECT("'Finanse 8.12.xlsx'!incomes_"&amp;$A$2&amp;"[Category]"),INDIRECT("'Finanse 8.12.xlsx'!incomes_"&amp;$A$2&amp;"[Total]"),0,0,1)</f>
        <v>#REF!</v>
      </c>
      <c r="D15" s="17" t="e">
        <f t="shared" ca="1" si="1"/>
        <v>#REF!</v>
      </c>
      <c r="F15" s="21" t="s">
        <v>23</v>
      </c>
      <c r="G15" s="3">
        <v>300</v>
      </c>
      <c r="H15" s="3" t="e" cm="1">
        <f t="array" aca="1" ref="H15" ca="1">-_xlfn.XLOOKUP(F15,INDIRECT("'Finanse 8.12.xlsx'!expenses_"&amp;$A$2&amp;"[Category]"),INDIRECT("'Finanse 8.12.xlsx'!expenses_"&amp;$A$2&amp;"[Total]"),0,0,1)</f>
        <v>#REF!</v>
      </c>
      <c r="I15" s="22" t="e">
        <f t="shared" ca="1" si="2"/>
        <v>#REF!</v>
      </c>
      <c r="K15" s="29" t="s">
        <v>20</v>
      </c>
      <c r="L15" s="14">
        <f t="shared" ref="L15:L16" ca="1" si="3">DATE(2025,$A$2,10)</f>
        <v>45698</v>
      </c>
      <c r="M15" s="8">
        <v>35</v>
      </c>
      <c r="N15" s="30"/>
      <c r="P15" s="38" t="s">
        <v>36</v>
      </c>
      <c r="Q15" s="15">
        <f ca="1">DATE(2025,$A$2,2)</f>
        <v>45690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Savings_2[[#This Row],[Planned]]-Savings_2[[#This Row],[Actual]]</f>
        <v>605</v>
      </c>
    </row>
    <row r="16" spans="1:24">
      <c r="A16" s="16" t="s">
        <v>40</v>
      </c>
      <c r="B16" s="7">
        <v>100</v>
      </c>
      <c r="C16" s="7" t="e" cm="1">
        <f t="array" aca="1" ref="C16" ca="1">_xlfn.XLOOKUP(A16,INDIRECT("'Finanse 8.12.xlsx'!incomes_"&amp;$A$2&amp;"[Category]"),INDIRECT("'Finanse 8.12.xlsx'!incomes_"&amp;$A$2&amp;"[Total]"),0,0,1)</f>
        <v>#REF!</v>
      </c>
      <c r="D16" s="17" t="e">
        <f t="shared" ca="1" si="1"/>
        <v>#REF!</v>
      </c>
      <c r="F16" s="21" t="s">
        <v>16</v>
      </c>
      <c r="G16" s="3">
        <v>750</v>
      </c>
      <c r="H16" s="3" t="e" cm="1">
        <f t="array" aca="1" ref="H16" ca="1">-_xlfn.XLOOKUP(F16,INDIRECT("'Finanse 8.12.xlsx'!expenses_"&amp;$A$2&amp;"[Category]"),INDIRECT("'Finanse 8.12.xlsx'!expenses_"&amp;$A$2&amp;"[Total]"),0,0,1)</f>
        <v>#REF!</v>
      </c>
      <c r="I16" s="22" t="e">
        <f t="shared" ca="1" si="2"/>
        <v>#REF!</v>
      </c>
      <c r="K16" s="29" t="s">
        <v>19</v>
      </c>
      <c r="L16" s="14">
        <f t="shared" ca="1" si="3"/>
        <v>45698</v>
      </c>
      <c r="M16" s="8">
        <v>25</v>
      </c>
      <c r="N16" s="30"/>
      <c r="P16" s="38" t="s">
        <v>21</v>
      </c>
      <c r="Q16" s="15">
        <f ca="1">DATE(2025,$A$2,21)</f>
        <v>45709</v>
      </c>
      <c r="R16" s="5">
        <v>100</v>
      </c>
      <c r="S16" s="39"/>
      <c r="U16" s="47"/>
      <c r="V16" s="9"/>
      <c r="W16" s="48"/>
      <c r="X16" s="9">
        <f>Savings_2[[#This Row],[Planned]]-Savings_2[[#This Row],[Actual]]</f>
        <v>0</v>
      </c>
    </row>
    <row r="17" spans="1:24">
      <c r="A17" s="16" t="s">
        <v>30</v>
      </c>
      <c r="B17" s="7">
        <v>1500</v>
      </c>
      <c r="C17" s="7" t="e" cm="1">
        <f t="array" aca="1" ref="C17" ca="1">_xlfn.XLOOKUP(A17,INDIRECT("'Finanse 8.12.xlsx'!incomes_"&amp;$A$2&amp;"[Category]"),INDIRECT("'Finanse 8.12.xlsx'!incomes_"&amp;$A$2&amp;"[Total]"),0,0,1)</f>
        <v>#REF!</v>
      </c>
      <c r="D17" s="17" t="e">
        <f t="shared" ca="1" si="1"/>
        <v>#REF!</v>
      </c>
      <c r="F17" s="21" t="s">
        <v>32</v>
      </c>
      <c r="G17" s="3">
        <v>130</v>
      </c>
      <c r="H17" s="3" t="e" cm="1">
        <f t="array" aca="1" ref="H17" ca="1">-_xlfn.XLOOKUP(F17,INDIRECT("'Finanse 8.12.xlsx'!expenses_"&amp;$A$2&amp;"[Category]"),INDIRECT("'Finanse 8.12.xlsx'!expenses_"&amp;$A$2&amp;"[Total]"),0,0,1)</f>
        <v>#REF!</v>
      </c>
      <c r="I17" s="22" t="e">
        <f t="shared" ca="1" si="2"/>
        <v>#REF!</v>
      </c>
      <c r="K17" s="29" t="s">
        <v>22</v>
      </c>
      <c r="L17" s="14">
        <f ca="1">DATE(2025,$A$2,28)</f>
        <v>45716</v>
      </c>
      <c r="M17" s="8">
        <v>35</v>
      </c>
      <c r="N17" s="30"/>
      <c r="P17" s="38" t="s">
        <v>37</v>
      </c>
      <c r="Q17" s="15">
        <f ca="1">DATE(2025,$A$2,12)</f>
        <v>45700</v>
      </c>
      <c r="R17" s="5">
        <v>42.69</v>
      </c>
      <c r="S17" s="39"/>
      <c r="U17" s="47"/>
      <c r="V17" s="9"/>
      <c r="W17" s="48"/>
      <c r="X17" s="9">
        <f>Savings_2[[#This Row],[Planned]]-Savings_2[[#This Row],[Actual]]</f>
        <v>0</v>
      </c>
    </row>
    <row r="18" spans="1:24">
      <c r="A18" s="16" t="s">
        <v>15</v>
      </c>
      <c r="B18" s="7">
        <v>800</v>
      </c>
      <c r="C18" s="7" t="e" cm="1">
        <f t="array" aca="1" ref="C18" ca="1">_xlfn.XLOOKUP(A18,INDIRECT("'Finanse 8.12.xlsx'!incomes_"&amp;$A$2&amp;"[Category]"),INDIRECT("'Finanse 8.12.xlsx'!incomes_"&amp;$A$2&amp;"[Total]"),0,0,1)</f>
        <v>#REF!</v>
      </c>
      <c r="D18" s="17" t="e">
        <f t="shared" ca="1" si="1"/>
        <v>#REF!</v>
      </c>
      <c r="F18" s="21" t="s">
        <v>33</v>
      </c>
      <c r="G18" s="3">
        <v>130</v>
      </c>
      <c r="H18" s="3" t="e" cm="1">
        <f t="array" aca="1" ref="H18" ca="1">-_xlfn.XLOOKUP(F18,INDIRECT("'Finanse 8.12.xlsx'!expenses_"&amp;$A$2&amp;"[Category]"),INDIRECT("'Finanse 8.12.xlsx'!expenses_"&amp;$A$2&amp;"[Total]"),0,0,1)</f>
        <v>#REF!</v>
      </c>
      <c r="I18" s="22" t="e">
        <f t="shared" ca="1" si="2"/>
        <v>#REF!</v>
      </c>
      <c r="K18" s="29" t="s">
        <v>24</v>
      </c>
      <c r="L18" s="14">
        <f ca="1">DATE(2025,$A$2,20)</f>
        <v>45708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Savings_2[[#This Row],[Planned]]-Savings_2[[#This Row],[Actual]]</f>
        <v>0</v>
      </c>
    </row>
    <row r="19" spans="1:24">
      <c r="A19" s="16"/>
      <c r="B19" s="7"/>
      <c r="C19" s="7"/>
      <c r="D19" s="17"/>
      <c r="E19" s="6"/>
      <c r="F19" s="21" t="s">
        <v>42</v>
      </c>
      <c r="G19" s="3">
        <v>200</v>
      </c>
      <c r="H19" s="3" t="e" cm="1">
        <f t="array" aca="1" ref="H19" ca="1">-_xlfn.XLOOKUP(F19,INDIRECT("'Finanse 8.12.xlsx'!expenses_"&amp;$A$2&amp;"[Category]"),INDIRECT("'Finanse 8.12.xlsx'!expenses_"&amp;$A$2&amp;"[Total]"),0,0,1)</f>
        <v>#REF!</v>
      </c>
      <c r="I19" s="22" t="e">
        <f t="shared" ca="1" si="2"/>
        <v>#REF!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Savings_2[[#This Row],[Planned]]-Savings_2[[#This Row],[Actual]]</f>
        <v>0</v>
      </c>
    </row>
    <row r="20" spans="1:24">
      <c r="A20" s="16"/>
      <c r="B20" s="7"/>
      <c r="C20" s="7"/>
      <c r="D20" s="17"/>
      <c r="F20" s="21" t="s">
        <v>34</v>
      </c>
      <c r="G20" s="3">
        <v>200</v>
      </c>
      <c r="H20" s="3" t="e" cm="1">
        <f t="array" aca="1" ref="H20" ca="1">-_xlfn.XLOOKUP(F20,INDIRECT("'Finanse 8.12.xlsx'!expenses_"&amp;$A$2&amp;"[Category]"),INDIRECT("'Finanse 8.12.xlsx'!expenses_"&amp;$A$2&amp;"[Total]"),0,0,1)</f>
        <v>#REF!</v>
      </c>
      <c r="I20" s="22" t="e">
        <f t="shared" ca="1" si="2"/>
        <v>#REF!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Savings_2[[#This Row],[Planned]]-Savings_2[[#This Row],[Actual]]</f>
        <v>0</v>
      </c>
    </row>
    <row r="21" spans="1:24">
      <c r="A21" s="16"/>
      <c r="B21" s="7"/>
      <c r="C21" s="7"/>
      <c r="D21" s="17"/>
      <c r="F21" s="21" t="s">
        <v>35</v>
      </c>
      <c r="G21" s="3">
        <v>150</v>
      </c>
      <c r="H21" s="3" t="e" cm="1">
        <f t="array" aca="1" ref="H21" ca="1">-_xlfn.XLOOKUP(F21,INDIRECT("'Finanse 8.12.xlsx'!expenses_"&amp;$A$2&amp;"[Category]"),INDIRECT("'Finanse 8.12.xlsx'!expenses_"&amp;$A$2&amp;"[Total]"),0,0,1)</f>
        <v>#REF!</v>
      </c>
      <c r="I21" s="22" t="e">
        <f t="shared" ca="1" si="2"/>
        <v>#REF!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Savings_2[[#This Row],[Planned]]-Savings_2[[#This Row],[Actual]]</f>
        <v>0</v>
      </c>
    </row>
    <row r="22" spans="1:2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Savings_2[[#This Row],[Planned]]-Savings_2[[#This Row],[Actual]]</f>
        <v>0</v>
      </c>
    </row>
    <row r="23" spans="1:2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Savings_2[[#This Row],[Planned]]-Savings_2[[#This Row],[Actual]]</f>
        <v>0</v>
      </c>
    </row>
    <row r="24" spans="1:2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Savings_2[[#This Row],[Planned]]-Savings_2[[#This Row],[Actual]]</f>
        <v>0</v>
      </c>
    </row>
    <row r="25" spans="1:2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Savings_2[[#This Row],[Planned]]-Savings_2[[#This Row],[Actual]]</f>
        <v>0</v>
      </c>
    </row>
    <row r="26" spans="1:2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Savings_2[[#This Row],[Planned]]-Savings_2[[#This Row],[Actual]]</f>
        <v>0</v>
      </c>
    </row>
    <row r="27" spans="1:24" ht="22.5">
      <c r="A27" s="61" t="s">
        <v>45</v>
      </c>
      <c r="B27" s="62">
        <f>SUM(B13:B26)</f>
        <v>5700</v>
      </c>
      <c r="C27" s="62" t="e">
        <f ca="1">SUM(Income_2[Actual])</f>
        <v>#REF!</v>
      </c>
      <c r="D27" s="63" t="e">
        <f ca="1">SUBTOTAL(109,Income_2[Left])</f>
        <v>#REF!</v>
      </c>
      <c r="F27" s="58" t="s">
        <v>45</v>
      </c>
      <c r="G27" s="59">
        <f>SUM(G13:G26)</f>
        <v>3795</v>
      </c>
      <c r="H27" s="59" t="e">
        <f ca="1">SUM(H13:H26)</f>
        <v>#REF!</v>
      </c>
      <c r="I27" s="60" t="e">
        <f ca="1">SUBTOTAL(109,Expenses_2[Left])</f>
        <v>#REF!</v>
      </c>
      <c r="K27" s="64" t="s">
        <v>45</v>
      </c>
      <c r="L27" s="65"/>
      <c r="M27" s="66">
        <f>SUM(M13:M26)</f>
        <v>1735</v>
      </c>
      <c r="N27" s="67">
        <f>SUBTOTAL(103,Bills_2[Actual])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SUBTOTAL(103,Subscriptions_2[Actual])</f>
        <v>0</v>
      </c>
      <c r="U27" s="72" t="s">
        <v>45</v>
      </c>
      <c r="V27" s="73">
        <f>SUM(V13:V26)</f>
        <v>1905</v>
      </c>
      <c r="W27" s="74">
        <f>SUBTOTAL(109,Savings_2[Actual])</f>
        <v>0</v>
      </c>
      <c r="X27" s="10">
        <f>SUM(Savings_2[Left])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BE46E-6F7E-4629-85C4-2C9A64F38A13}">
  <sheetPr codeName="Sheet3"/>
  <dimension ref="A1:X27"/>
  <sheetViews>
    <sheetView zoomScale="115" zoomScaleNormal="115" workbookViewId="0">
      <selection activeCell="C3" sqref="C3"/>
    </sheetView>
  </sheetViews>
  <sheetFormatPr defaultColWidth="9.125" defaultRowHeight="21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>
      <c r="A1" s="79" t="s">
        <v>25</v>
      </c>
      <c r="B1" s="80"/>
      <c r="C1" s="80"/>
      <c r="D1" s="80"/>
      <c r="E1" s="12"/>
    </row>
    <row r="2" spans="1:24">
      <c r="A2" s="81" t="str" cm="1">
        <f t="array" aca="1" ref="A2" ca="1">RIGHT(CELL("filename",A1),LEN(CELL("filename",A1))-FIND("]",CELL("filename",A1)))</f>
        <v>3</v>
      </c>
      <c r="B2" s="82"/>
      <c r="C2" s="82"/>
      <c r="D2" s="82"/>
    </row>
    <row r="4" spans="1:24">
      <c r="B4" s="11" t="s">
        <v>6</v>
      </c>
      <c r="C4" s="11" t="s">
        <v>7</v>
      </c>
      <c r="D4" s="11" t="s">
        <v>26</v>
      </c>
      <c r="E4" s="13"/>
    </row>
    <row r="5" spans="1:24">
      <c r="A5" s="11" t="s">
        <v>46</v>
      </c>
      <c r="B5" s="9" cm="1">
        <f t="array" aca="1" ref="B5" ca="1">INDIRECT($A5&amp;"_1[[#Totals],["&amp;B$4&amp;"]]")</f>
        <v>5700</v>
      </c>
      <c r="C5" s="9" t="e" cm="1">
        <f t="array" aca="1" ref="C5" ca="1">INDIRECT($A5&amp;"_1[[#Totals],["&amp;C$4&amp;"]]")</f>
        <v>#REF!</v>
      </c>
      <c r="D5" s="9" t="e" cm="1">
        <f t="array" aca="1" ref="D5" ca="1">INDIRECT($A5&amp;"_1[[#Totals],["&amp;D$4&amp;"]]")</f>
        <v>#REF!</v>
      </c>
      <c r="E5" s="13"/>
    </row>
    <row r="6" spans="1:24">
      <c r="A6" s="11" t="s">
        <v>1</v>
      </c>
      <c r="B6" s="9" cm="1">
        <f t="array" aca="1" ref="B6" ca="1">INDIRECT($A6&amp;"_1[[#Totals],["&amp;B$4&amp;"]]")</f>
        <v>3795</v>
      </c>
      <c r="C6" s="9" t="e" cm="1">
        <f t="array" aca="1" ref="C6" ca="1">INDIRECT($A6&amp;"_1[[#Totals],["&amp;C$4&amp;"]]")</f>
        <v>#REF!</v>
      </c>
      <c r="D6" s="9" t="e" cm="1">
        <f t="array" aca="1" ref="D6" ca="1">INDIRECT($A6&amp;"_1[[#Totals],["&amp;D$4&amp;"]]")</f>
        <v>#REF!</v>
      </c>
      <c r="E6" s="13"/>
    </row>
    <row r="7" spans="1:2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>
      <c r="A9" s="11" t="s">
        <v>27</v>
      </c>
      <c r="B9" s="9">
        <f ca="1">B5-B6-B7</f>
        <v>0</v>
      </c>
      <c r="C9" s="9" t="e">
        <f t="shared" ref="C9" ca="1" si="0">C5-C6-C7</f>
        <v>#REF!</v>
      </c>
      <c r="D9" s="9" t="e">
        <f ca="1">D5+D6+D7</f>
        <v>#REF!</v>
      </c>
      <c r="E9" s="13"/>
    </row>
    <row r="11" spans="1:2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>
      <c r="A13" s="16" t="s">
        <v>12</v>
      </c>
      <c r="B13" s="7">
        <v>2500</v>
      </c>
      <c r="C13" s="7" t="e" cm="1">
        <f t="array" aca="1" ref="C13" ca="1">_xlfn.XLOOKUP(A13,INDIRECT("'Finanse 8.12.xlsx'!incomes_"&amp;$A$2&amp;"[Category]"),INDIRECT("'Finanse 8.12.xlsx'!incomes_"&amp;$A$2&amp;"[Total]"),0,0,1)</f>
        <v>#REF!</v>
      </c>
      <c r="D13" s="17" t="e">
        <f ca="1">C13-B13</f>
        <v>#REF!</v>
      </c>
      <c r="F13" s="21" t="s">
        <v>41</v>
      </c>
      <c r="G13" s="3">
        <v>1735</v>
      </c>
      <c r="H13" s="3" t="e" cm="1">
        <f t="array" aca="1" ref="H13" ca="1">-_xlfn.XLOOKUP(F13,INDIRECT("'Finanse 8.12.xlsx'!expenses_"&amp;$A$2&amp;"[Category]"),INDIRECT("'Finanse 8.12.xlsx'!expenses_"&amp;$A$2&amp;"[Total]"),0,0,1)</f>
        <v>#REF!</v>
      </c>
      <c r="I13" s="22" t="e">
        <f ca="1">G13-H13</f>
        <v>#REF!</v>
      </c>
      <c r="K13" s="29" t="s">
        <v>13</v>
      </c>
      <c r="L13" s="14">
        <f ca="1">DATE(2025,$A$2,10)</f>
        <v>45726</v>
      </c>
      <c r="M13" s="8">
        <v>1500</v>
      </c>
      <c r="N13" s="30"/>
      <c r="P13" s="38" t="s">
        <v>18</v>
      </c>
      <c r="Q13" s="15">
        <f ca="1">DATE(2025,$A$2,5)</f>
        <v>45721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Savings_3[[#This Row],[Planned]]-Savings_3[[#This Row],[Actual]]</f>
        <v>500</v>
      </c>
    </row>
    <row r="14" spans="1:24">
      <c r="A14" s="16" t="s">
        <v>28</v>
      </c>
      <c r="B14" s="7">
        <v>300</v>
      </c>
      <c r="C14" s="7" t="e" cm="1">
        <f t="array" aca="1" ref="C14" ca="1">_xlfn.XLOOKUP(A14,INDIRECT("'Finanse 8.12.xlsx'!incomes_"&amp;$A$2&amp;"[Category]"),INDIRECT("'Finanse 8.12.xlsx'!incomes_"&amp;$A$2&amp;"[Total]"),0,0,1)</f>
        <v>#REF!</v>
      </c>
      <c r="D14" s="17" t="e">
        <f t="shared" ref="D14:D18" ca="1" si="1">C14-B14</f>
        <v>#REF!</v>
      </c>
      <c r="F14" s="21" t="s">
        <v>31</v>
      </c>
      <c r="G14" s="3">
        <v>200</v>
      </c>
      <c r="H14" s="3" t="e" cm="1">
        <f t="array" aca="1" ref="H14" ca="1">-_xlfn.XLOOKUP(F14,INDIRECT("'Finanse 8.12.xlsx'!expenses_"&amp;$A$2&amp;"[Category]"),INDIRECT("'Finanse 8.12.xlsx'!expenses_"&amp;$A$2&amp;"[Total]"),0,0,1)</f>
        <v>#REF!</v>
      </c>
      <c r="I14" s="22" t="e">
        <f t="shared" ref="I14:I21" ca="1" si="2">G14-H14</f>
        <v>#REF!</v>
      </c>
      <c r="K14" s="29" t="s">
        <v>17</v>
      </c>
      <c r="L14" s="14">
        <f ca="1">DATE(2025,$A$2,15)</f>
        <v>45731</v>
      </c>
      <c r="M14" s="8">
        <v>80</v>
      </c>
      <c r="N14" s="30"/>
      <c r="P14" s="38" t="s">
        <v>14</v>
      </c>
      <c r="Q14" s="15">
        <f ca="1">DATE(2025,$A$2,24)</f>
        <v>45740</v>
      </c>
      <c r="R14" s="5">
        <v>33</v>
      </c>
      <c r="S14" s="39"/>
      <c r="U14" s="47" t="s">
        <v>39</v>
      </c>
      <c r="V14" s="9">
        <v>800</v>
      </c>
      <c r="W14" s="48"/>
      <c r="X14" s="9">
        <f>Savings_3[[#This Row],[Planned]]-Savings_3[[#This Row],[Actual]]</f>
        <v>800</v>
      </c>
    </row>
    <row r="15" spans="1:24">
      <c r="A15" s="16" t="s">
        <v>29</v>
      </c>
      <c r="B15" s="7">
        <v>500</v>
      </c>
      <c r="C15" s="7" t="e" cm="1">
        <f t="array" aca="1" ref="C15" ca="1">_xlfn.XLOOKUP(A15,INDIRECT("'Finanse 8.12.xlsx'!incomes_"&amp;$A$2&amp;"[Category]"),INDIRECT("'Finanse 8.12.xlsx'!incomes_"&amp;$A$2&amp;"[Total]"),0,0,1)</f>
        <v>#REF!</v>
      </c>
      <c r="D15" s="17" t="e">
        <f t="shared" ca="1" si="1"/>
        <v>#REF!</v>
      </c>
      <c r="F15" s="21" t="s">
        <v>23</v>
      </c>
      <c r="G15" s="3">
        <v>300</v>
      </c>
      <c r="H15" s="3" t="e" cm="1">
        <f t="array" aca="1" ref="H15" ca="1">-_xlfn.XLOOKUP(F15,INDIRECT("'Finanse 8.12.xlsx'!expenses_"&amp;$A$2&amp;"[Category]"),INDIRECT("'Finanse 8.12.xlsx'!expenses_"&amp;$A$2&amp;"[Total]"),0,0,1)</f>
        <v>#REF!</v>
      </c>
      <c r="I15" s="22" t="e">
        <f t="shared" ca="1" si="2"/>
        <v>#REF!</v>
      </c>
      <c r="K15" s="29" t="s">
        <v>20</v>
      </c>
      <c r="L15" s="14">
        <f t="shared" ref="L15:L16" ca="1" si="3">DATE(2025,$A$2,10)</f>
        <v>45726</v>
      </c>
      <c r="M15" s="8">
        <v>35</v>
      </c>
      <c r="N15" s="30"/>
      <c r="P15" s="38" t="s">
        <v>36</v>
      </c>
      <c r="Q15" s="15">
        <f ca="1">DATE(2025,$A$2,2)</f>
        <v>45718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Savings_3[[#This Row],[Planned]]-Savings_3[[#This Row],[Actual]]</f>
        <v>605</v>
      </c>
    </row>
    <row r="16" spans="1:24">
      <c r="A16" s="16" t="s">
        <v>40</v>
      </c>
      <c r="B16" s="7">
        <v>100</v>
      </c>
      <c r="C16" s="7" t="e" cm="1">
        <f t="array" aca="1" ref="C16" ca="1">_xlfn.XLOOKUP(A16,INDIRECT("'Finanse 8.12.xlsx'!incomes_"&amp;$A$2&amp;"[Category]"),INDIRECT("'Finanse 8.12.xlsx'!incomes_"&amp;$A$2&amp;"[Total]"),0,0,1)</f>
        <v>#REF!</v>
      </c>
      <c r="D16" s="17" t="e">
        <f t="shared" ca="1" si="1"/>
        <v>#REF!</v>
      </c>
      <c r="F16" s="21" t="s">
        <v>16</v>
      </c>
      <c r="G16" s="3">
        <v>750</v>
      </c>
      <c r="H16" s="3" t="e" cm="1">
        <f t="array" aca="1" ref="H16" ca="1">-_xlfn.XLOOKUP(F16,INDIRECT("'Finanse 8.12.xlsx'!expenses_"&amp;$A$2&amp;"[Category]"),INDIRECT("'Finanse 8.12.xlsx'!expenses_"&amp;$A$2&amp;"[Total]"),0,0,1)</f>
        <v>#REF!</v>
      </c>
      <c r="I16" s="22" t="e">
        <f t="shared" ca="1" si="2"/>
        <v>#REF!</v>
      </c>
      <c r="K16" s="29" t="s">
        <v>19</v>
      </c>
      <c r="L16" s="14">
        <f t="shared" ca="1" si="3"/>
        <v>45726</v>
      </c>
      <c r="M16" s="8">
        <v>25</v>
      </c>
      <c r="N16" s="30"/>
      <c r="P16" s="38" t="s">
        <v>21</v>
      </c>
      <c r="Q16" s="15">
        <f ca="1">DATE(2025,$A$2,21)</f>
        <v>45737</v>
      </c>
      <c r="R16" s="5">
        <v>100</v>
      </c>
      <c r="S16" s="39"/>
      <c r="U16" s="47"/>
      <c r="V16" s="9"/>
      <c r="W16" s="48"/>
      <c r="X16" s="9">
        <f>Savings_3[[#This Row],[Planned]]-Savings_3[[#This Row],[Actual]]</f>
        <v>0</v>
      </c>
    </row>
    <row r="17" spans="1:24">
      <c r="A17" s="16" t="s">
        <v>30</v>
      </c>
      <c r="B17" s="7">
        <v>1500</v>
      </c>
      <c r="C17" s="7" t="e" cm="1">
        <f t="array" aca="1" ref="C17" ca="1">_xlfn.XLOOKUP(A17,INDIRECT("'Finanse 8.12.xlsx'!incomes_"&amp;$A$2&amp;"[Category]"),INDIRECT("'Finanse 8.12.xlsx'!incomes_"&amp;$A$2&amp;"[Total]"),0,0,1)</f>
        <v>#REF!</v>
      </c>
      <c r="D17" s="17" t="e">
        <f t="shared" ca="1" si="1"/>
        <v>#REF!</v>
      </c>
      <c r="F17" s="21" t="s">
        <v>32</v>
      </c>
      <c r="G17" s="3">
        <v>130</v>
      </c>
      <c r="H17" s="3" t="e" cm="1">
        <f t="array" aca="1" ref="H17" ca="1">-_xlfn.XLOOKUP(F17,INDIRECT("'Finanse 8.12.xlsx'!expenses_"&amp;$A$2&amp;"[Category]"),INDIRECT("'Finanse 8.12.xlsx'!expenses_"&amp;$A$2&amp;"[Total]"),0,0,1)</f>
        <v>#REF!</v>
      </c>
      <c r="I17" s="22" t="e">
        <f t="shared" ca="1" si="2"/>
        <v>#REF!</v>
      </c>
      <c r="K17" s="29" t="s">
        <v>22</v>
      </c>
      <c r="L17" s="14">
        <f ca="1">DATE(2025,$A$2,28)</f>
        <v>45744</v>
      </c>
      <c r="M17" s="8">
        <v>35</v>
      </c>
      <c r="N17" s="30"/>
      <c r="P17" s="38" t="s">
        <v>37</v>
      </c>
      <c r="Q17" s="15">
        <f ca="1">DATE(2025,$A$2,12)</f>
        <v>45728</v>
      </c>
      <c r="R17" s="5">
        <v>42.69</v>
      </c>
      <c r="S17" s="39"/>
      <c r="U17" s="47"/>
      <c r="V17" s="9"/>
      <c r="W17" s="48"/>
      <c r="X17" s="9">
        <f>Savings_3[[#This Row],[Planned]]-Savings_3[[#This Row],[Actual]]</f>
        <v>0</v>
      </c>
    </row>
    <row r="18" spans="1:24">
      <c r="A18" s="16" t="s">
        <v>15</v>
      </c>
      <c r="B18" s="7">
        <v>800</v>
      </c>
      <c r="C18" s="7" t="e" cm="1">
        <f t="array" aca="1" ref="C18" ca="1">_xlfn.XLOOKUP(A18,INDIRECT("'Finanse 8.12.xlsx'!incomes_"&amp;$A$2&amp;"[Category]"),INDIRECT("'Finanse 8.12.xlsx'!incomes_"&amp;$A$2&amp;"[Total]"),0,0,1)</f>
        <v>#REF!</v>
      </c>
      <c r="D18" s="17" t="e">
        <f t="shared" ca="1" si="1"/>
        <v>#REF!</v>
      </c>
      <c r="F18" s="21" t="s">
        <v>33</v>
      </c>
      <c r="G18" s="3">
        <v>130</v>
      </c>
      <c r="H18" s="3" t="e" cm="1">
        <f t="array" aca="1" ref="H18" ca="1">-_xlfn.XLOOKUP(F18,INDIRECT("'Finanse 8.12.xlsx'!expenses_"&amp;$A$2&amp;"[Category]"),INDIRECT("'Finanse 8.12.xlsx'!expenses_"&amp;$A$2&amp;"[Total]"),0,0,1)</f>
        <v>#REF!</v>
      </c>
      <c r="I18" s="22" t="e">
        <f t="shared" ca="1" si="2"/>
        <v>#REF!</v>
      </c>
      <c r="K18" s="29" t="s">
        <v>24</v>
      </c>
      <c r="L18" s="14">
        <f ca="1">DATE(2025,$A$2,20)</f>
        <v>45736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Savings_3[[#This Row],[Planned]]-Savings_3[[#This Row],[Actual]]</f>
        <v>0</v>
      </c>
    </row>
    <row r="19" spans="1:24">
      <c r="A19" s="16"/>
      <c r="B19" s="7"/>
      <c r="C19" s="7"/>
      <c r="D19" s="17"/>
      <c r="E19" s="6"/>
      <c r="F19" s="21" t="s">
        <v>42</v>
      </c>
      <c r="G19" s="3">
        <v>200</v>
      </c>
      <c r="H19" s="3" t="e" cm="1">
        <f t="array" aca="1" ref="H19" ca="1">-_xlfn.XLOOKUP(F19,INDIRECT("'Finanse 8.12.xlsx'!expenses_"&amp;$A$2&amp;"[Category]"),INDIRECT("'Finanse 8.12.xlsx'!expenses_"&amp;$A$2&amp;"[Total]"),0,0,1)</f>
        <v>#REF!</v>
      </c>
      <c r="I19" s="22" t="e">
        <f t="shared" ca="1" si="2"/>
        <v>#REF!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Savings_3[[#This Row],[Planned]]-Savings_3[[#This Row],[Actual]]</f>
        <v>0</v>
      </c>
    </row>
    <row r="20" spans="1:24">
      <c r="A20" s="16"/>
      <c r="B20" s="7"/>
      <c r="C20" s="7"/>
      <c r="D20" s="17"/>
      <c r="F20" s="21" t="s">
        <v>34</v>
      </c>
      <c r="G20" s="3">
        <v>200</v>
      </c>
      <c r="H20" s="3" t="e" cm="1">
        <f t="array" aca="1" ref="H20" ca="1">-_xlfn.XLOOKUP(F20,INDIRECT("'Finanse 8.12.xlsx'!expenses_"&amp;$A$2&amp;"[Category]"),INDIRECT("'Finanse 8.12.xlsx'!expenses_"&amp;$A$2&amp;"[Total]"),0,0,1)</f>
        <v>#REF!</v>
      </c>
      <c r="I20" s="22" t="e">
        <f t="shared" ca="1" si="2"/>
        <v>#REF!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Savings_3[[#This Row],[Planned]]-Savings_3[[#This Row],[Actual]]</f>
        <v>0</v>
      </c>
    </row>
    <row r="21" spans="1:24">
      <c r="A21" s="16"/>
      <c r="B21" s="7"/>
      <c r="C21" s="7"/>
      <c r="D21" s="17"/>
      <c r="F21" s="21" t="s">
        <v>35</v>
      </c>
      <c r="G21" s="3">
        <v>150</v>
      </c>
      <c r="H21" s="3" t="e" cm="1">
        <f t="array" aca="1" ref="H21" ca="1">-_xlfn.XLOOKUP(F21,INDIRECT("'Finanse 8.12.xlsx'!expenses_"&amp;$A$2&amp;"[Category]"),INDIRECT("'Finanse 8.12.xlsx'!expenses_"&amp;$A$2&amp;"[Total]"),0,0,1)</f>
        <v>#REF!</v>
      </c>
      <c r="I21" s="22" t="e">
        <f t="shared" ca="1" si="2"/>
        <v>#REF!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Savings_3[[#This Row],[Planned]]-Savings_3[[#This Row],[Actual]]</f>
        <v>0</v>
      </c>
    </row>
    <row r="22" spans="1:2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Savings_3[[#This Row],[Planned]]-Savings_3[[#This Row],[Actual]]</f>
        <v>0</v>
      </c>
    </row>
    <row r="23" spans="1:2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Savings_3[[#This Row],[Planned]]-Savings_3[[#This Row],[Actual]]</f>
        <v>0</v>
      </c>
    </row>
    <row r="24" spans="1:2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Savings_3[[#This Row],[Planned]]-Savings_3[[#This Row],[Actual]]</f>
        <v>0</v>
      </c>
    </row>
    <row r="25" spans="1:2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Savings_3[[#This Row],[Planned]]-Savings_3[[#This Row],[Actual]]</f>
        <v>0</v>
      </c>
    </row>
    <row r="26" spans="1:2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Savings_3[[#This Row],[Planned]]-Savings_3[[#This Row],[Actual]]</f>
        <v>0</v>
      </c>
    </row>
    <row r="27" spans="1:24" ht="22.5">
      <c r="A27" s="61" t="s">
        <v>45</v>
      </c>
      <c r="B27" s="62">
        <f>SUM(B13:B26)</f>
        <v>5700</v>
      </c>
      <c r="C27" s="62" t="e">
        <f ca="1">SUM(Income_3[Actual])</f>
        <v>#REF!</v>
      </c>
      <c r="D27" s="63" t="e">
        <f ca="1">SUBTOTAL(109,Income_3[Left])</f>
        <v>#REF!</v>
      </c>
      <c r="F27" s="58" t="s">
        <v>45</v>
      </c>
      <c r="G27" s="59">
        <f>SUM(G13:G26)</f>
        <v>3795</v>
      </c>
      <c r="H27" s="59" t="e">
        <f ca="1">SUM(H13:H26)</f>
        <v>#REF!</v>
      </c>
      <c r="I27" s="60" t="e">
        <f ca="1">SUBTOTAL(109,Expenses_3[Left])</f>
        <v>#REF!</v>
      </c>
      <c r="K27" s="64" t="s">
        <v>45</v>
      </c>
      <c r="L27" s="65"/>
      <c r="M27" s="66">
        <f>SUM(M13:M26)</f>
        <v>1735</v>
      </c>
      <c r="N27" s="67">
        <f>SUBTOTAL(103,Bills_3[Actual])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SUBTOTAL(103,Subscriptions_3[Actual])</f>
        <v>0</v>
      </c>
      <c r="U27" s="72" t="s">
        <v>45</v>
      </c>
      <c r="V27" s="73">
        <f>SUM(V13:V26)</f>
        <v>1905</v>
      </c>
      <c r="W27" s="74">
        <f>SUBTOTAL(109,Savings_3[Actual])</f>
        <v>0</v>
      </c>
      <c r="X27" s="10">
        <f>SUM(Savings_3[Left])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42B2F-BA2E-41FF-ADEB-29E2EFF5EBAA}">
  <sheetPr codeName="Sheet4"/>
  <dimension ref="A1:X27"/>
  <sheetViews>
    <sheetView zoomScale="115" zoomScaleNormal="115" workbookViewId="0">
      <selection activeCell="C3" sqref="C3"/>
    </sheetView>
  </sheetViews>
  <sheetFormatPr defaultColWidth="9.125" defaultRowHeight="21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>
      <c r="A1" s="79" t="s">
        <v>25</v>
      </c>
      <c r="B1" s="80"/>
      <c r="C1" s="80"/>
      <c r="D1" s="80"/>
      <c r="E1" s="12"/>
    </row>
    <row r="2" spans="1:24">
      <c r="A2" s="81" t="str" cm="1">
        <f t="array" aca="1" ref="A2" ca="1">RIGHT(CELL("filename",A1),LEN(CELL("filename",A1))-FIND("]",CELL("filename",A1)))</f>
        <v>4</v>
      </c>
      <c r="B2" s="82"/>
      <c r="C2" s="82"/>
      <c r="D2" s="82"/>
    </row>
    <row r="4" spans="1:24">
      <c r="B4" s="11" t="s">
        <v>6</v>
      </c>
      <c r="C4" s="11" t="s">
        <v>7</v>
      </c>
      <c r="D4" s="11" t="s">
        <v>26</v>
      </c>
      <c r="E4" s="13"/>
    </row>
    <row r="5" spans="1:24">
      <c r="A5" s="11" t="s">
        <v>46</v>
      </c>
      <c r="B5" s="9" cm="1">
        <f t="array" aca="1" ref="B5" ca="1">INDIRECT($A5&amp;"_1[[#Totals],["&amp;B$4&amp;"]]")</f>
        <v>5700</v>
      </c>
      <c r="C5" s="9" t="e" cm="1">
        <f t="array" aca="1" ref="C5" ca="1">INDIRECT($A5&amp;"_1[[#Totals],["&amp;C$4&amp;"]]")</f>
        <v>#REF!</v>
      </c>
      <c r="D5" s="9" t="e" cm="1">
        <f t="array" aca="1" ref="D5" ca="1">INDIRECT($A5&amp;"_1[[#Totals],["&amp;D$4&amp;"]]")</f>
        <v>#REF!</v>
      </c>
      <c r="E5" s="13"/>
    </row>
    <row r="6" spans="1:24">
      <c r="A6" s="11" t="s">
        <v>1</v>
      </c>
      <c r="B6" s="9" cm="1">
        <f t="array" aca="1" ref="B6" ca="1">INDIRECT($A6&amp;"_1[[#Totals],["&amp;B$4&amp;"]]")</f>
        <v>3795</v>
      </c>
      <c r="C6" s="9" t="e" cm="1">
        <f t="array" aca="1" ref="C6" ca="1">INDIRECT($A6&amp;"_1[[#Totals],["&amp;C$4&amp;"]]")</f>
        <v>#REF!</v>
      </c>
      <c r="D6" s="9" t="e" cm="1">
        <f t="array" aca="1" ref="D6" ca="1">INDIRECT($A6&amp;"_1[[#Totals],["&amp;D$4&amp;"]]")</f>
        <v>#REF!</v>
      </c>
      <c r="E6" s="13"/>
    </row>
    <row r="7" spans="1:2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>
      <c r="A9" s="11" t="s">
        <v>27</v>
      </c>
      <c r="B9" s="9">
        <f ca="1">B5-B6-B7</f>
        <v>0</v>
      </c>
      <c r="C9" s="9" t="e">
        <f t="shared" ref="C9" ca="1" si="0">C5-C6-C7</f>
        <v>#REF!</v>
      </c>
      <c r="D9" s="9" t="e">
        <f ca="1">D5+D6+D7</f>
        <v>#REF!</v>
      </c>
      <c r="E9" s="13"/>
    </row>
    <row r="11" spans="1:2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>
      <c r="A13" s="16" t="s">
        <v>12</v>
      </c>
      <c r="B13" s="7">
        <v>2500</v>
      </c>
      <c r="C13" s="7" t="e" cm="1">
        <f t="array" aca="1" ref="C13" ca="1">_xlfn.XLOOKUP(A13,INDIRECT("'Finanse 8.12.xlsx'!incomes_"&amp;$A$2&amp;"[Category]"),INDIRECT("'Finanse 8.12.xlsx'!incomes_"&amp;$A$2&amp;"[Total]"),0,0,1)</f>
        <v>#REF!</v>
      </c>
      <c r="D13" s="17" t="e">
        <f ca="1">C13-B13</f>
        <v>#REF!</v>
      </c>
      <c r="F13" s="21" t="s">
        <v>41</v>
      </c>
      <c r="G13" s="3">
        <v>1735</v>
      </c>
      <c r="H13" s="3" t="e" cm="1">
        <f t="array" aca="1" ref="H13" ca="1">-_xlfn.XLOOKUP(F13,INDIRECT("'Finanse 8.12.xlsx'!expenses_"&amp;$A$2&amp;"[Category]"),INDIRECT("'Finanse 8.12.xlsx'!expenses_"&amp;$A$2&amp;"[Total]"),0,0,1)</f>
        <v>#REF!</v>
      </c>
      <c r="I13" s="22" t="e">
        <f ca="1">G13-H13</f>
        <v>#REF!</v>
      </c>
      <c r="K13" s="29" t="s">
        <v>13</v>
      </c>
      <c r="L13" s="14">
        <f ca="1">DATE(2025,$A$2,10)</f>
        <v>45757</v>
      </c>
      <c r="M13" s="8">
        <v>1500</v>
      </c>
      <c r="N13" s="30"/>
      <c r="P13" s="38" t="s">
        <v>18</v>
      </c>
      <c r="Q13" s="15">
        <f ca="1">DATE(2025,$A$2,5)</f>
        <v>45752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Savings_4[[#This Row],[Planned]]-Savings_4[[#This Row],[Actual]]</f>
        <v>500</v>
      </c>
    </row>
    <row r="14" spans="1:24">
      <c r="A14" s="16" t="s">
        <v>28</v>
      </c>
      <c r="B14" s="7">
        <v>300</v>
      </c>
      <c r="C14" s="7" t="e" cm="1">
        <f t="array" aca="1" ref="C14" ca="1">_xlfn.XLOOKUP(A14,INDIRECT("'Finanse 8.12.xlsx'!incomes_"&amp;$A$2&amp;"[Category]"),INDIRECT("'Finanse 8.12.xlsx'!incomes_"&amp;$A$2&amp;"[Total]"),0,0,1)</f>
        <v>#REF!</v>
      </c>
      <c r="D14" s="17" t="e">
        <f t="shared" ref="D14:D18" ca="1" si="1">C14-B14</f>
        <v>#REF!</v>
      </c>
      <c r="F14" s="21" t="s">
        <v>31</v>
      </c>
      <c r="G14" s="3">
        <v>200</v>
      </c>
      <c r="H14" s="3" t="e" cm="1">
        <f t="array" aca="1" ref="H14" ca="1">-_xlfn.XLOOKUP(F14,INDIRECT("'Finanse 8.12.xlsx'!expenses_"&amp;$A$2&amp;"[Category]"),INDIRECT("'Finanse 8.12.xlsx'!expenses_"&amp;$A$2&amp;"[Total]"),0,0,1)</f>
        <v>#REF!</v>
      </c>
      <c r="I14" s="22" t="e">
        <f t="shared" ref="I14:I21" ca="1" si="2">G14-H14</f>
        <v>#REF!</v>
      </c>
      <c r="K14" s="29" t="s">
        <v>17</v>
      </c>
      <c r="L14" s="14">
        <f ca="1">DATE(2025,$A$2,15)</f>
        <v>45762</v>
      </c>
      <c r="M14" s="8">
        <v>80</v>
      </c>
      <c r="N14" s="30"/>
      <c r="P14" s="38" t="s">
        <v>14</v>
      </c>
      <c r="Q14" s="15">
        <f ca="1">DATE(2025,$A$2,24)</f>
        <v>45771</v>
      </c>
      <c r="R14" s="5">
        <v>33</v>
      </c>
      <c r="S14" s="39"/>
      <c r="U14" s="47" t="s">
        <v>39</v>
      </c>
      <c r="V14" s="9">
        <v>800</v>
      </c>
      <c r="W14" s="48"/>
      <c r="X14" s="9">
        <f>Savings_4[[#This Row],[Planned]]-Savings_4[[#This Row],[Actual]]</f>
        <v>800</v>
      </c>
    </row>
    <row r="15" spans="1:24">
      <c r="A15" s="16" t="s">
        <v>29</v>
      </c>
      <c r="B15" s="7">
        <v>500</v>
      </c>
      <c r="C15" s="7" t="e" cm="1">
        <f t="array" aca="1" ref="C15" ca="1">_xlfn.XLOOKUP(A15,INDIRECT("'Finanse 8.12.xlsx'!incomes_"&amp;$A$2&amp;"[Category]"),INDIRECT("'Finanse 8.12.xlsx'!incomes_"&amp;$A$2&amp;"[Total]"),0,0,1)</f>
        <v>#REF!</v>
      </c>
      <c r="D15" s="17" t="e">
        <f t="shared" ca="1" si="1"/>
        <v>#REF!</v>
      </c>
      <c r="F15" s="21" t="s">
        <v>23</v>
      </c>
      <c r="G15" s="3">
        <v>300</v>
      </c>
      <c r="H15" s="3" t="e" cm="1">
        <f t="array" aca="1" ref="H15" ca="1">-_xlfn.XLOOKUP(F15,INDIRECT("'Finanse 8.12.xlsx'!expenses_"&amp;$A$2&amp;"[Category]"),INDIRECT("'Finanse 8.12.xlsx'!expenses_"&amp;$A$2&amp;"[Total]"),0,0,1)</f>
        <v>#REF!</v>
      </c>
      <c r="I15" s="22" t="e">
        <f t="shared" ca="1" si="2"/>
        <v>#REF!</v>
      </c>
      <c r="K15" s="29" t="s">
        <v>20</v>
      </c>
      <c r="L15" s="14">
        <f t="shared" ref="L15:L16" ca="1" si="3">DATE(2025,$A$2,10)</f>
        <v>45757</v>
      </c>
      <c r="M15" s="8">
        <v>35</v>
      </c>
      <c r="N15" s="30"/>
      <c r="P15" s="38" t="s">
        <v>36</v>
      </c>
      <c r="Q15" s="15">
        <f ca="1">DATE(2025,$A$2,2)</f>
        <v>45749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Savings_4[[#This Row],[Planned]]-Savings_4[[#This Row],[Actual]]</f>
        <v>605</v>
      </c>
    </row>
    <row r="16" spans="1:24">
      <c r="A16" s="16" t="s">
        <v>40</v>
      </c>
      <c r="B16" s="7">
        <v>100</v>
      </c>
      <c r="C16" s="7" t="e" cm="1">
        <f t="array" aca="1" ref="C16" ca="1">_xlfn.XLOOKUP(A16,INDIRECT("'Finanse 8.12.xlsx'!incomes_"&amp;$A$2&amp;"[Category]"),INDIRECT("'Finanse 8.12.xlsx'!incomes_"&amp;$A$2&amp;"[Total]"),0,0,1)</f>
        <v>#REF!</v>
      </c>
      <c r="D16" s="17" t="e">
        <f t="shared" ca="1" si="1"/>
        <v>#REF!</v>
      </c>
      <c r="F16" s="21" t="s">
        <v>16</v>
      </c>
      <c r="G16" s="3">
        <v>750</v>
      </c>
      <c r="H16" s="3" t="e" cm="1">
        <f t="array" aca="1" ref="H16" ca="1">-_xlfn.XLOOKUP(F16,INDIRECT("'Finanse 8.12.xlsx'!expenses_"&amp;$A$2&amp;"[Category]"),INDIRECT("'Finanse 8.12.xlsx'!expenses_"&amp;$A$2&amp;"[Total]"),0,0,1)</f>
        <v>#REF!</v>
      </c>
      <c r="I16" s="22" t="e">
        <f t="shared" ca="1" si="2"/>
        <v>#REF!</v>
      </c>
      <c r="K16" s="29" t="s">
        <v>19</v>
      </c>
      <c r="L16" s="14">
        <f t="shared" ca="1" si="3"/>
        <v>45757</v>
      </c>
      <c r="M16" s="8">
        <v>25</v>
      </c>
      <c r="N16" s="30"/>
      <c r="P16" s="38" t="s">
        <v>21</v>
      </c>
      <c r="Q16" s="15">
        <f ca="1">DATE(2025,$A$2,21)</f>
        <v>45768</v>
      </c>
      <c r="R16" s="5">
        <v>100</v>
      </c>
      <c r="S16" s="39"/>
      <c r="U16" s="47"/>
      <c r="V16" s="9"/>
      <c r="W16" s="48"/>
      <c r="X16" s="9">
        <f>Savings_4[[#This Row],[Planned]]-Savings_4[[#This Row],[Actual]]</f>
        <v>0</v>
      </c>
    </row>
    <row r="17" spans="1:24">
      <c r="A17" s="16" t="s">
        <v>30</v>
      </c>
      <c r="B17" s="7">
        <v>1500</v>
      </c>
      <c r="C17" s="7" t="e" cm="1">
        <f t="array" aca="1" ref="C17" ca="1">_xlfn.XLOOKUP(A17,INDIRECT("'Finanse 8.12.xlsx'!incomes_"&amp;$A$2&amp;"[Category]"),INDIRECT("'Finanse 8.12.xlsx'!incomes_"&amp;$A$2&amp;"[Total]"),0,0,1)</f>
        <v>#REF!</v>
      </c>
      <c r="D17" s="17" t="e">
        <f t="shared" ca="1" si="1"/>
        <v>#REF!</v>
      </c>
      <c r="F17" s="21" t="s">
        <v>32</v>
      </c>
      <c r="G17" s="3">
        <v>130</v>
      </c>
      <c r="H17" s="3" t="e" cm="1">
        <f t="array" aca="1" ref="H17" ca="1">-_xlfn.XLOOKUP(F17,INDIRECT("'Finanse 8.12.xlsx'!expenses_"&amp;$A$2&amp;"[Category]"),INDIRECT("'Finanse 8.12.xlsx'!expenses_"&amp;$A$2&amp;"[Total]"),0,0,1)</f>
        <v>#REF!</v>
      </c>
      <c r="I17" s="22" t="e">
        <f t="shared" ca="1" si="2"/>
        <v>#REF!</v>
      </c>
      <c r="K17" s="29" t="s">
        <v>22</v>
      </c>
      <c r="L17" s="14">
        <f ca="1">DATE(2025,$A$2,28)</f>
        <v>45775</v>
      </c>
      <c r="M17" s="8">
        <v>35</v>
      </c>
      <c r="N17" s="30"/>
      <c r="P17" s="38" t="s">
        <v>37</v>
      </c>
      <c r="Q17" s="15">
        <f ca="1">DATE(2025,$A$2,12)</f>
        <v>45759</v>
      </c>
      <c r="R17" s="5">
        <v>42.69</v>
      </c>
      <c r="S17" s="39"/>
      <c r="U17" s="47"/>
      <c r="V17" s="9"/>
      <c r="W17" s="48"/>
      <c r="X17" s="9">
        <f>Savings_4[[#This Row],[Planned]]-Savings_4[[#This Row],[Actual]]</f>
        <v>0</v>
      </c>
    </row>
    <row r="18" spans="1:24">
      <c r="A18" s="16" t="s">
        <v>15</v>
      </c>
      <c r="B18" s="7">
        <v>800</v>
      </c>
      <c r="C18" s="7" t="e" cm="1">
        <f t="array" aca="1" ref="C18" ca="1">_xlfn.XLOOKUP(A18,INDIRECT("'Finanse 8.12.xlsx'!incomes_"&amp;$A$2&amp;"[Category]"),INDIRECT("'Finanse 8.12.xlsx'!incomes_"&amp;$A$2&amp;"[Total]"),0,0,1)</f>
        <v>#REF!</v>
      </c>
      <c r="D18" s="17" t="e">
        <f t="shared" ca="1" si="1"/>
        <v>#REF!</v>
      </c>
      <c r="F18" s="21" t="s">
        <v>33</v>
      </c>
      <c r="G18" s="3">
        <v>130</v>
      </c>
      <c r="H18" s="3" t="e" cm="1">
        <f t="array" aca="1" ref="H18" ca="1">-_xlfn.XLOOKUP(F18,INDIRECT("'Finanse 8.12.xlsx'!expenses_"&amp;$A$2&amp;"[Category]"),INDIRECT("'Finanse 8.12.xlsx'!expenses_"&amp;$A$2&amp;"[Total]"),0,0,1)</f>
        <v>#REF!</v>
      </c>
      <c r="I18" s="22" t="e">
        <f t="shared" ca="1" si="2"/>
        <v>#REF!</v>
      </c>
      <c r="K18" s="29" t="s">
        <v>24</v>
      </c>
      <c r="L18" s="14">
        <f ca="1">DATE(2025,$A$2,20)</f>
        <v>45767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Savings_4[[#This Row],[Planned]]-Savings_4[[#This Row],[Actual]]</f>
        <v>0</v>
      </c>
    </row>
    <row r="19" spans="1:24">
      <c r="A19" s="16"/>
      <c r="B19" s="7"/>
      <c r="C19" s="7"/>
      <c r="D19" s="17"/>
      <c r="E19" s="6"/>
      <c r="F19" s="21" t="s">
        <v>42</v>
      </c>
      <c r="G19" s="3">
        <v>200</v>
      </c>
      <c r="H19" s="3" t="e" cm="1">
        <f t="array" aca="1" ref="H19" ca="1">-_xlfn.XLOOKUP(F19,INDIRECT("'Finanse 8.12.xlsx'!expenses_"&amp;$A$2&amp;"[Category]"),INDIRECT("'Finanse 8.12.xlsx'!expenses_"&amp;$A$2&amp;"[Total]"),0,0,1)</f>
        <v>#REF!</v>
      </c>
      <c r="I19" s="22" t="e">
        <f t="shared" ca="1" si="2"/>
        <v>#REF!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Savings_4[[#This Row],[Planned]]-Savings_4[[#This Row],[Actual]]</f>
        <v>0</v>
      </c>
    </row>
    <row r="20" spans="1:24">
      <c r="A20" s="16"/>
      <c r="B20" s="7"/>
      <c r="C20" s="7"/>
      <c r="D20" s="17"/>
      <c r="F20" s="21" t="s">
        <v>34</v>
      </c>
      <c r="G20" s="3">
        <v>200</v>
      </c>
      <c r="H20" s="3" t="e" cm="1">
        <f t="array" aca="1" ref="H20" ca="1">-_xlfn.XLOOKUP(F20,INDIRECT("'Finanse 8.12.xlsx'!expenses_"&amp;$A$2&amp;"[Category]"),INDIRECT("'Finanse 8.12.xlsx'!expenses_"&amp;$A$2&amp;"[Total]"),0,0,1)</f>
        <v>#REF!</v>
      </c>
      <c r="I20" s="22" t="e">
        <f t="shared" ca="1" si="2"/>
        <v>#REF!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Savings_4[[#This Row],[Planned]]-Savings_4[[#This Row],[Actual]]</f>
        <v>0</v>
      </c>
    </row>
    <row r="21" spans="1:24">
      <c r="A21" s="16"/>
      <c r="B21" s="7"/>
      <c r="C21" s="7"/>
      <c r="D21" s="17"/>
      <c r="F21" s="21" t="s">
        <v>35</v>
      </c>
      <c r="G21" s="3">
        <v>150</v>
      </c>
      <c r="H21" s="3" t="e" cm="1">
        <f t="array" aca="1" ref="H21" ca="1">-_xlfn.XLOOKUP(F21,INDIRECT("'Finanse 8.12.xlsx'!expenses_"&amp;$A$2&amp;"[Category]"),INDIRECT("'Finanse 8.12.xlsx'!expenses_"&amp;$A$2&amp;"[Total]"),0,0,1)</f>
        <v>#REF!</v>
      </c>
      <c r="I21" s="22" t="e">
        <f t="shared" ca="1" si="2"/>
        <v>#REF!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Savings_4[[#This Row],[Planned]]-Savings_4[[#This Row],[Actual]]</f>
        <v>0</v>
      </c>
    </row>
    <row r="22" spans="1:2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Savings_4[[#This Row],[Planned]]-Savings_4[[#This Row],[Actual]]</f>
        <v>0</v>
      </c>
    </row>
    <row r="23" spans="1:2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Savings_4[[#This Row],[Planned]]-Savings_4[[#This Row],[Actual]]</f>
        <v>0</v>
      </c>
    </row>
    <row r="24" spans="1:2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Savings_4[[#This Row],[Planned]]-Savings_4[[#This Row],[Actual]]</f>
        <v>0</v>
      </c>
    </row>
    <row r="25" spans="1:2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Savings_4[[#This Row],[Planned]]-Savings_4[[#This Row],[Actual]]</f>
        <v>0</v>
      </c>
    </row>
    <row r="26" spans="1:2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Savings_4[[#This Row],[Planned]]-Savings_4[[#This Row],[Actual]]</f>
        <v>0</v>
      </c>
    </row>
    <row r="27" spans="1:24" ht="22.5">
      <c r="A27" s="61" t="s">
        <v>45</v>
      </c>
      <c r="B27" s="62">
        <f>SUM(B13:B26)</f>
        <v>5700</v>
      </c>
      <c r="C27" s="62" t="e">
        <f ca="1">SUM(Income_4[Actual])</f>
        <v>#REF!</v>
      </c>
      <c r="D27" s="63" t="e">
        <f ca="1">SUBTOTAL(109,Income_4[Left])</f>
        <v>#REF!</v>
      </c>
      <c r="F27" s="58" t="s">
        <v>45</v>
      </c>
      <c r="G27" s="59">
        <f>SUM(G13:G26)</f>
        <v>3795</v>
      </c>
      <c r="H27" s="59" t="e">
        <f ca="1">SUM(H13:H26)</f>
        <v>#REF!</v>
      </c>
      <c r="I27" s="60" t="e">
        <f ca="1">SUBTOTAL(109,Expenses_4[Left])</f>
        <v>#REF!</v>
      </c>
      <c r="K27" s="64" t="s">
        <v>45</v>
      </c>
      <c r="L27" s="65"/>
      <c r="M27" s="66">
        <f>SUM(M13:M26)</f>
        <v>1735</v>
      </c>
      <c r="N27" s="67">
        <f>SUBTOTAL(103,Bills_4[Actual])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SUBTOTAL(103,Subscriptions_4[Actual])</f>
        <v>0</v>
      </c>
      <c r="U27" s="72" t="s">
        <v>45</v>
      </c>
      <c r="V27" s="73">
        <f>SUM(V13:V26)</f>
        <v>1905</v>
      </c>
      <c r="W27" s="74">
        <f>SUBTOTAL(109,Savings_4[Actual])</f>
        <v>0</v>
      </c>
      <c r="X27" s="10">
        <f>SUM(Savings_4[Left])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192BB-D3B2-48E3-96BE-1C5888CAEEFB}">
  <sheetPr codeName="Sheet5"/>
  <dimension ref="A1:X27"/>
  <sheetViews>
    <sheetView zoomScale="115" zoomScaleNormal="115" workbookViewId="0">
      <selection activeCell="C3" sqref="C3"/>
    </sheetView>
  </sheetViews>
  <sheetFormatPr defaultColWidth="9.125" defaultRowHeight="21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>
      <c r="A1" s="79" t="s">
        <v>25</v>
      </c>
      <c r="B1" s="80"/>
      <c r="C1" s="80"/>
      <c r="D1" s="80"/>
      <c r="E1" s="12"/>
    </row>
    <row r="2" spans="1:24">
      <c r="A2" s="81" t="str" cm="1">
        <f t="array" aca="1" ref="A2" ca="1">RIGHT(CELL("filename",A1),LEN(CELL("filename",A1))-FIND("]",CELL("filename",A1)))</f>
        <v>5</v>
      </c>
      <c r="B2" s="82"/>
      <c r="C2" s="82"/>
      <c r="D2" s="82"/>
    </row>
    <row r="4" spans="1:24">
      <c r="B4" s="11" t="s">
        <v>6</v>
      </c>
      <c r="C4" s="11" t="s">
        <v>7</v>
      </c>
      <c r="D4" s="11" t="s">
        <v>26</v>
      </c>
      <c r="E4" s="13"/>
    </row>
    <row r="5" spans="1:24">
      <c r="A5" s="11" t="s">
        <v>46</v>
      </c>
      <c r="B5" s="9" cm="1">
        <f t="array" aca="1" ref="B5" ca="1">INDIRECT($A5&amp;"_1[[#Totals],["&amp;B$4&amp;"]]")</f>
        <v>5700</v>
      </c>
      <c r="C5" s="9" t="e" cm="1">
        <f t="array" aca="1" ref="C5" ca="1">INDIRECT($A5&amp;"_1[[#Totals],["&amp;C$4&amp;"]]")</f>
        <v>#REF!</v>
      </c>
      <c r="D5" s="9" t="e" cm="1">
        <f t="array" aca="1" ref="D5" ca="1">INDIRECT($A5&amp;"_1[[#Totals],["&amp;D$4&amp;"]]")</f>
        <v>#REF!</v>
      </c>
      <c r="E5" s="13"/>
    </row>
    <row r="6" spans="1:24">
      <c r="A6" s="11" t="s">
        <v>1</v>
      </c>
      <c r="B6" s="9" cm="1">
        <f t="array" aca="1" ref="B6" ca="1">INDIRECT($A6&amp;"_1[[#Totals],["&amp;B$4&amp;"]]")</f>
        <v>3795</v>
      </c>
      <c r="C6" s="9" t="e" cm="1">
        <f t="array" aca="1" ref="C6" ca="1">INDIRECT($A6&amp;"_1[[#Totals],["&amp;C$4&amp;"]]")</f>
        <v>#REF!</v>
      </c>
      <c r="D6" s="9" t="e" cm="1">
        <f t="array" aca="1" ref="D6" ca="1">INDIRECT($A6&amp;"_1[[#Totals],["&amp;D$4&amp;"]]")</f>
        <v>#REF!</v>
      </c>
      <c r="E6" s="13"/>
    </row>
    <row r="7" spans="1:2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>
      <c r="A9" s="11" t="s">
        <v>27</v>
      </c>
      <c r="B9" s="9">
        <f ca="1">B5-B6-B7</f>
        <v>0</v>
      </c>
      <c r="C9" s="9" t="e">
        <f t="shared" ref="C9" ca="1" si="0">C5-C6-C7</f>
        <v>#REF!</v>
      </c>
      <c r="D9" s="9" t="e">
        <f ca="1">D5+D6+D7</f>
        <v>#REF!</v>
      </c>
      <c r="E9" s="13"/>
    </row>
    <row r="11" spans="1:2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>
      <c r="A13" s="16" t="s">
        <v>12</v>
      </c>
      <c r="B13" s="7">
        <v>2500</v>
      </c>
      <c r="C13" s="7" t="e" cm="1">
        <f t="array" aca="1" ref="C13" ca="1">_xlfn.XLOOKUP(A13,INDIRECT("'Finanse 8.12.xlsx'!incomes_"&amp;$A$2&amp;"[Category]"),INDIRECT("'Finanse 8.12.xlsx'!incomes_"&amp;$A$2&amp;"[Total]"),0,0,1)</f>
        <v>#REF!</v>
      </c>
      <c r="D13" s="17" t="e">
        <f ca="1">C13-B13</f>
        <v>#REF!</v>
      </c>
      <c r="F13" s="21" t="s">
        <v>41</v>
      </c>
      <c r="G13" s="3">
        <v>1735</v>
      </c>
      <c r="H13" s="3" t="e" cm="1">
        <f t="array" aca="1" ref="H13" ca="1">-_xlfn.XLOOKUP(F13,INDIRECT("'Finanse 8.12.xlsx'!expenses_"&amp;$A$2&amp;"[Category]"),INDIRECT("'Finanse 8.12.xlsx'!expenses_"&amp;$A$2&amp;"[Total]"),0,0,1)</f>
        <v>#REF!</v>
      </c>
      <c r="I13" s="22" t="e">
        <f ca="1">G13-H13</f>
        <v>#REF!</v>
      </c>
      <c r="K13" s="29" t="s">
        <v>13</v>
      </c>
      <c r="L13" s="14">
        <f ca="1">DATE(2025,$A$2,10)</f>
        <v>45787</v>
      </c>
      <c r="M13" s="8">
        <v>1500</v>
      </c>
      <c r="N13" s="30"/>
      <c r="P13" s="38" t="s">
        <v>18</v>
      </c>
      <c r="Q13" s="15">
        <f ca="1">DATE(2025,$A$2,5)</f>
        <v>45782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Savings_5[[#This Row],[Planned]]-Savings_5[[#This Row],[Actual]]</f>
        <v>500</v>
      </c>
    </row>
    <row r="14" spans="1:24">
      <c r="A14" s="16" t="s">
        <v>28</v>
      </c>
      <c r="B14" s="7">
        <v>300</v>
      </c>
      <c r="C14" s="7" t="e" cm="1">
        <f t="array" aca="1" ref="C14" ca="1">_xlfn.XLOOKUP(A14,INDIRECT("'Finanse 8.12.xlsx'!incomes_"&amp;$A$2&amp;"[Category]"),INDIRECT("'Finanse 8.12.xlsx'!incomes_"&amp;$A$2&amp;"[Total]"),0,0,1)</f>
        <v>#REF!</v>
      </c>
      <c r="D14" s="17" t="e">
        <f t="shared" ref="D14:D18" ca="1" si="1">C14-B14</f>
        <v>#REF!</v>
      </c>
      <c r="F14" s="21" t="s">
        <v>31</v>
      </c>
      <c r="G14" s="3">
        <v>200</v>
      </c>
      <c r="H14" s="3" t="e" cm="1">
        <f t="array" aca="1" ref="H14" ca="1">-_xlfn.XLOOKUP(F14,INDIRECT("'Finanse 8.12.xlsx'!expenses_"&amp;$A$2&amp;"[Category]"),INDIRECT("'Finanse 8.12.xlsx'!expenses_"&amp;$A$2&amp;"[Total]"),0,0,1)</f>
        <v>#REF!</v>
      </c>
      <c r="I14" s="22" t="e">
        <f t="shared" ref="I14:I21" ca="1" si="2">G14-H14</f>
        <v>#REF!</v>
      </c>
      <c r="K14" s="29" t="s">
        <v>17</v>
      </c>
      <c r="L14" s="14">
        <f ca="1">DATE(2025,$A$2,15)</f>
        <v>45792</v>
      </c>
      <c r="M14" s="8">
        <v>80</v>
      </c>
      <c r="N14" s="30"/>
      <c r="P14" s="38" t="s">
        <v>14</v>
      </c>
      <c r="Q14" s="15">
        <f ca="1">DATE(2025,$A$2,24)</f>
        <v>45801</v>
      </c>
      <c r="R14" s="5">
        <v>33</v>
      </c>
      <c r="S14" s="39"/>
      <c r="U14" s="47" t="s">
        <v>39</v>
      </c>
      <c r="V14" s="9">
        <v>800</v>
      </c>
      <c r="W14" s="48"/>
      <c r="X14" s="9">
        <f>Savings_5[[#This Row],[Planned]]-Savings_5[[#This Row],[Actual]]</f>
        <v>800</v>
      </c>
    </row>
    <row r="15" spans="1:24">
      <c r="A15" s="16" t="s">
        <v>29</v>
      </c>
      <c r="B15" s="7">
        <v>500</v>
      </c>
      <c r="C15" s="7" t="e" cm="1">
        <f t="array" aca="1" ref="C15" ca="1">_xlfn.XLOOKUP(A15,INDIRECT("'Finanse 8.12.xlsx'!incomes_"&amp;$A$2&amp;"[Category]"),INDIRECT("'Finanse 8.12.xlsx'!incomes_"&amp;$A$2&amp;"[Total]"),0,0,1)</f>
        <v>#REF!</v>
      </c>
      <c r="D15" s="17" t="e">
        <f t="shared" ca="1" si="1"/>
        <v>#REF!</v>
      </c>
      <c r="F15" s="21" t="s">
        <v>23</v>
      </c>
      <c r="G15" s="3">
        <v>300</v>
      </c>
      <c r="H15" s="3" t="e" cm="1">
        <f t="array" aca="1" ref="H15" ca="1">-_xlfn.XLOOKUP(F15,INDIRECT("'Finanse 8.12.xlsx'!expenses_"&amp;$A$2&amp;"[Category]"),INDIRECT("'Finanse 8.12.xlsx'!expenses_"&amp;$A$2&amp;"[Total]"),0,0,1)</f>
        <v>#REF!</v>
      </c>
      <c r="I15" s="22" t="e">
        <f t="shared" ca="1" si="2"/>
        <v>#REF!</v>
      </c>
      <c r="K15" s="29" t="s">
        <v>20</v>
      </c>
      <c r="L15" s="14">
        <f t="shared" ref="L15:L16" ca="1" si="3">DATE(2025,$A$2,10)</f>
        <v>45787</v>
      </c>
      <c r="M15" s="8">
        <v>35</v>
      </c>
      <c r="N15" s="30"/>
      <c r="P15" s="38" t="s">
        <v>36</v>
      </c>
      <c r="Q15" s="15">
        <f ca="1">DATE(2025,$A$2,2)</f>
        <v>45779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Savings_5[[#This Row],[Planned]]-Savings_5[[#This Row],[Actual]]</f>
        <v>605</v>
      </c>
    </row>
    <row r="16" spans="1:24">
      <c r="A16" s="16" t="s">
        <v>40</v>
      </c>
      <c r="B16" s="7">
        <v>100</v>
      </c>
      <c r="C16" s="7" t="e" cm="1">
        <f t="array" aca="1" ref="C16" ca="1">_xlfn.XLOOKUP(A16,INDIRECT("'Finanse 8.12.xlsx'!incomes_"&amp;$A$2&amp;"[Category]"),INDIRECT("'Finanse 8.12.xlsx'!incomes_"&amp;$A$2&amp;"[Total]"),0,0,1)</f>
        <v>#REF!</v>
      </c>
      <c r="D16" s="17" t="e">
        <f t="shared" ca="1" si="1"/>
        <v>#REF!</v>
      </c>
      <c r="F16" s="21" t="s">
        <v>16</v>
      </c>
      <c r="G16" s="3">
        <v>750</v>
      </c>
      <c r="H16" s="3" t="e" cm="1">
        <f t="array" aca="1" ref="H16" ca="1">-_xlfn.XLOOKUP(F16,INDIRECT("'Finanse 8.12.xlsx'!expenses_"&amp;$A$2&amp;"[Category]"),INDIRECT("'Finanse 8.12.xlsx'!expenses_"&amp;$A$2&amp;"[Total]"),0,0,1)</f>
        <v>#REF!</v>
      </c>
      <c r="I16" s="22" t="e">
        <f t="shared" ca="1" si="2"/>
        <v>#REF!</v>
      </c>
      <c r="K16" s="29" t="s">
        <v>19</v>
      </c>
      <c r="L16" s="14">
        <f t="shared" ca="1" si="3"/>
        <v>45787</v>
      </c>
      <c r="M16" s="8">
        <v>25</v>
      </c>
      <c r="N16" s="30"/>
      <c r="P16" s="38" t="s">
        <v>21</v>
      </c>
      <c r="Q16" s="15">
        <f ca="1">DATE(2025,$A$2,21)</f>
        <v>45798</v>
      </c>
      <c r="R16" s="5">
        <v>100</v>
      </c>
      <c r="S16" s="39"/>
      <c r="U16" s="47"/>
      <c r="V16" s="9"/>
      <c r="W16" s="48"/>
      <c r="X16" s="9">
        <f>Savings_5[[#This Row],[Planned]]-Savings_5[[#This Row],[Actual]]</f>
        <v>0</v>
      </c>
    </row>
    <row r="17" spans="1:24">
      <c r="A17" s="16" t="s">
        <v>30</v>
      </c>
      <c r="B17" s="7">
        <v>1500</v>
      </c>
      <c r="C17" s="7" t="e" cm="1">
        <f t="array" aca="1" ref="C17" ca="1">_xlfn.XLOOKUP(A17,INDIRECT("'Finanse 8.12.xlsx'!incomes_"&amp;$A$2&amp;"[Category]"),INDIRECT("'Finanse 8.12.xlsx'!incomes_"&amp;$A$2&amp;"[Total]"),0,0,1)</f>
        <v>#REF!</v>
      </c>
      <c r="D17" s="17" t="e">
        <f t="shared" ca="1" si="1"/>
        <v>#REF!</v>
      </c>
      <c r="F17" s="21" t="s">
        <v>32</v>
      </c>
      <c r="G17" s="3">
        <v>130</v>
      </c>
      <c r="H17" s="3" t="e" cm="1">
        <f t="array" aca="1" ref="H17" ca="1">-_xlfn.XLOOKUP(F17,INDIRECT("'Finanse 8.12.xlsx'!expenses_"&amp;$A$2&amp;"[Category]"),INDIRECT("'Finanse 8.12.xlsx'!expenses_"&amp;$A$2&amp;"[Total]"),0,0,1)</f>
        <v>#REF!</v>
      </c>
      <c r="I17" s="22" t="e">
        <f t="shared" ca="1" si="2"/>
        <v>#REF!</v>
      </c>
      <c r="K17" s="29" t="s">
        <v>22</v>
      </c>
      <c r="L17" s="14">
        <f ca="1">DATE(2025,$A$2,28)</f>
        <v>45805</v>
      </c>
      <c r="M17" s="8">
        <v>35</v>
      </c>
      <c r="N17" s="30"/>
      <c r="P17" s="38" t="s">
        <v>37</v>
      </c>
      <c r="Q17" s="15">
        <f ca="1">DATE(2025,$A$2,12)</f>
        <v>45789</v>
      </c>
      <c r="R17" s="5">
        <v>42.69</v>
      </c>
      <c r="S17" s="39"/>
      <c r="U17" s="47"/>
      <c r="V17" s="9"/>
      <c r="W17" s="48"/>
      <c r="X17" s="9">
        <f>Savings_5[[#This Row],[Planned]]-Savings_5[[#This Row],[Actual]]</f>
        <v>0</v>
      </c>
    </row>
    <row r="18" spans="1:24">
      <c r="A18" s="16" t="s">
        <v>15</v>
      </c>
      <c r="B18" s="7">
        <v>800</v>
      </c>
      <c r="C18" s="7" t="e" cm="1">
        <f t="array" aca="1" ref="C18" ca="1">_xlfn.XLOOKUP(A18,INDIRECT("'Finanse 8.12.xlsx'!incomes_"&amp;$A$2&amp;"[Category]"),INDIRECT("'Finanse 8.12.xlsx'!incomes_"&amp;$A$2&amp;"[Total]"),0,0,1)</f>
        <v>#REF!</v>
      </c>
      <c r="D18" s="17" t="e">
        <f t="shared" ca="1" si="1"/>
        <v>#REF!</v>
      </c>
      <c r="F18" s="21" t="s">
        <v>33</v>
      </c>
      <c r="G18" s="3">
        <v>130</v>
      </c>
      <c r="H18" s="3" t="e" cm="1">
        <f t="array" aca="1" ref="H18" ca="1">-_xlfn.XLOOKUP(F18,INDIRECT("'Finanse 8.12.xlsx'!expenses_"&amp;$A$2&amp;"[Category]"),INDIRECT("'Finanse 8.12.xlsx'!expenses_"&amp;$A$2&amp;"[Total]"),0,0,1)</f>
        <v>#REF!</v>
      </c>
      <c r="I18" s="22" t="e">
        <f t="shared" ca="1" si="2"/>
        <v>#REF!</v>
      </c>
      <c r="K18" s="29" t="s">
        <v>24</v>
      </c>
      <c r="L18" s="14">
        <f ca="1">DATE(2025,$A$2,20)</f>
        <v>45797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Savings_5[[#This Row],[Planned]]-Savings_5[[#This Row],[Actual]]</f>
        <v>0</v>
      </c>
    </row>
    <row r="19" spans="1:24">
      <c r="A19" s="16"/>
      <c r="B19" s="7"/>
      <c r="C19" s="7"/>
      <c r="D19" s="17"/>
      <c r="E19" s="6"/>
      <c r="F19" s="21" t="s">
        <v>42</v>
      </c>
      <c r="G19" s="3">
        <v>200</v>
      </c>
      <c r="H19" s="3" t="e" cm="1">
        <f t="array" aca="1" ref="H19" ca="1">-_xlfn.XLOOKUP(F19,INDIRECT("'Finanse 8.12.xlsx'!expenses_"&amp;$A$2&amp;"[Category]"),INDIRECT("'Finanse 8.12.xlsx'!expenses_"&amp;$A$2&amp;"[Total]"),0,0,1)</f>
        <v>#REF!</v>
      </c>
      <c r="I19" s="22" t="e">
        <f t="shared" ca="1" si="2"/>
        <v>#REF!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Savings_5[[#This Row],[Planned]]-Savings_5[[#This Row],[Actual]]</f>
        <v>0</v>
      </c>
    </row>
    <row r="20" spans="1:24">
      <c r="A20" s="16"/>
      <c r="B20" s="7"/>
      <c r="C20" s="7"/>
      <c r="D20" s="17"/>
      <c r="F20" s="21" t="s">
        <v>34</v>
      </c>
      <c r="G20" s="3">
        <v>200</v>
      </c>
      <c r="H20" s="3" t="e" cm="1">
        <f t="array" aca="1" ref="H20" ca="1">-_xlfn.XLOOKUP(F20,INDIRECT("'Finanse 8.12.xlsx'!expenses_"&amp;$A$2&amp;"[Category]"),INDIRECT("'Finanse 8.12.xlsx'!expenses_"&amp;$A$2&amp;"[Total]"),0,0,1)</f>
        <v>#REF!</v>
      </c>
      <c r="I20" s="22" t="e">
        <f t="shared" ca="1" si="2"/>
        <v>#REF!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Savings_5[[#This Row],[Planned]]-Savings_5[[#This Row],[Actual]]</f>
        <v>0</v>
      </c>
    </row>
    <row r="21" spans="1:24">
      <c r="A21" s="16"/>
      <c r="B21" s="7"/>
      <c r="C21" s="7"/>
      <c r="D21" s="17"/>
      <c r="F21" s="21" t="s">
        <v>35</v>
      </c>
      <c r="G21" s="3">
        <v>150</v>
      </c>
      <c r="H21" s="3" t="e" cm="1">
        <f t="array" aca="1" ref="H21" ca="1">-_xlfn.XLOOKUP(F21,INDIRECT("'Finanse 8.12.xlsx'!expenses_"&amp;$A$2&amp;"[Category]"),INDIRECT("'Finanse 8.12.xlsx'!expenses_"&amp;$A$2&amp;"[Total]"),0,0,1)</f>
        <v>#REF!</v>
      </c>
      <c r="I21" s="22" t="e">
        <f t="shared" ca="1" si="2"/>
        <v>#REF!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Savings_5[[#This Row],[Planned]]-Savings_5[[#This Row],[Actual]]</f>
        <v>0</v>
      </c>
    </row>
    <row r="22" spans="1:2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Savings_5[[#This Row],[Planned]]-Savings_5[[#This Row],[Actual]]</f>
        <v>0</v>
      </c>
    </row>
    <row r="23" spans="1:2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Savings_5[[#This Row],[Planned]]-Savings_5[[#This Row],[Actual]]</f>
        <v>0</v>
      </c>
    </row>
    <row r="24" spans="1:2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Savings_5[[#This Row],[Planned]]-Savings_5[[#This Row],[Actual]]</f>
        <v>0</v>
      </c>
    </row>
    <row r="25" spans="1:2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Savings_5[[#This Row],[Planned]]-Savings_5[[#This Row],[Actual]]</f>
        <v>0</v>
      </c>
    </row>
    <row r="26" spans="1:2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Savings_5[[#This Row],[Planned]]-Savings_5[[#This Row],[Actual]]</f>
        <v>0</v>
      </c>
    </row>
    <row r="27" spans="1:24" ht="22.5">
      <c r="A27" s="61" t="s">
        <v>45</v>
      </c>
      <c r="B27" s="62">
        <f>SUM(B13:B26)</f>
        <v>5700</v>
      </c>
      <c r="C27" s="62" t="e">
        <f ca="1">SUM(Income_5[Actual])</f>
        <v>#REF!</v>
      </c>
      <c r="D27" s="63" t="e">
        <f ca="1">SUBTOTAL(109,Income_5[Left])</f>
        <v>#REF!</v>
      </c>
      <c r="F27" s="58" t="s">
        <v>45</v>
      </c>
      <c r="G27" s="59">
        <f>SUM(G13:G26)</f>
        <v>3795</v>
      </c>
      <c r="H27" s="59" t="e">
        <f ca="1">SUM(H13:H26)</f>
        <v>#REF!</v>
      </c>
      <c r="I27" s="60" t="e">
        <f ca="1">SUBTOTAL(109,Expenses_5[Left])</f>
        <v>#REF!</v>
      </c>
      <c r="K27" s="64" t="s">
        <v>45</v>
      </c>
      <c r="L27" s="65"/>
      <c r="M27" s="66">
        <f>SUM(M13:M26)</f>
        <v>1735</v>
      </c>
      <c r="N27" s="67">
        <f>SUBTOTAL(103,Bills_5[Actual])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SUBTOTAL(103,Subscriptions_5[Actual])</f>
        <v>0</v>
      </c>
      <c r="U27" s="72" t="s">
        <v>45</v>
      </c>
      <c r="V27" s="73">
        <f>SUM(V13:V26)</f>
        <v>1905</v>
      </c>
      <c r="W27" s="74">
        <f>SUBTOTAL(109,Savings_5[Actual])</f>
        <v>0</v>
      </c>
      <c r="X27" s="10">
        <f>SUM(Savings_5[Left])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5141B-FCAC-45D1-A89C-0A6996A380DD}">
  <sheetPr codeName="Sheet6"/>
  <dimension ref="A1:X27"/>
  <sheetViews>
    <sheetView zoomScale="115" zoomScaleNormal="115" workbookViewId="0">
      <selection activeCell="C3" sqref="C3"/>
    </sheetView>
  </sheetViews>
  <sheetFormatPr defaultColWidth="9.125" defaultRowHeight="21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>
      <c r="A1" s="79" t="s">
        <v>25</v>
      </c>
      <c r="B1" s="80"/>
      <c r="C1" s="80"/>
      <c r="D1" s="80"/>
      <c r="E1" s="12"/>
    </row>
    <row r="2" spans="1:24">
      <c r="A2" s="81" t="str" cm="1">
        <f t="array" aca="1" ref="A2" ca="1">RIGHT(CELL("filename",A1),LEN(CELL("filename",A1))-FIND("]",CELL("filename",A1)))</f>
        <v>6</v>
      </c>
      <c r="B2" s="82"/>
      <c r="C2" s="82"/>
      <c r="D2" s="82"/>
    </row>
    <row r="4" spans="1:24">
      <c r="B4" s="11" t="s">
        <v>6</v>
      </c>
      <c r="C4" s="11" t="s">
        <v>7</v>
      </c>
      <c r="D4" s="11" t="s">
        <v>26</v>
      </c>
      <c r="E4" s="13"/>
    </row>
    <row r="5" spans="1:24">
      <c r="A5" s="11" t="s">
        <v>46</v>
      </c>
      <c r="B5" s="9" cm="1">
        <f t="array" aca="1" ref="B5" ca="1">INDIRECT($A5&amp;"_1[[#Totals],["&amp;B$4&amp;"]]")</f>
        <v>5700</v>
      </c>
      <c r="C5" s="9" t="e" cm="1">
        <f t="array" aca="1" ref="C5" ca="1">INDIRECT($A5&amp;"_1[[#Totals],["&amp;C$4&amp;"]]")</f>
        <v>#REF!</v>
      </c>
      <c r="D5" s="9" t="e" cm="1">
        <f t="array" aca="1" ref="D5" ca="1">INDIRECT($A5&amp;"_1[[#Totals],["&amp;D$4&amp;"]]")</f>
        <v>#REF!</v>
      </c>
      <c r="E5" s="13"/>
    </row>
    <row r="6" spans="1:24">
      <c r="A6" s="11" t="s">
        <v>1</v>
      </c>
      <c r="B6" s="9" cm="1">
        <f t="array" aca="1" ref="B6" ca="1">INDIRECT($A6&amp;"_1[[#Totals],["&amp;B$4&amp;"]]")</f>
        <v>3795</v>
      </c>
      <c r="C6" s="9" t="e" cm="1">
        <f t="array" aca="1" ref="C6" ca="1">INDIRECT($A6&amp;"_1[[#Totals],["&amp;C$4&amp;"]]")</f>
        <v>#REF!</v>
      </c>
      <c r="D6" s="9" t="e" cm="1">
        <f t="array" aca="1" ref="D6" ca="1">INDIRECT($A6&amp;"_1[[#Totals],["&amp;D$4&amp;"]]")</f>
        <v>#REF!</v>
      </c>
      <c r="E6" s="13"/>
    </row>
    <row r="7" spans="1:2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>
      <c r="A9" s="11" t="s">
        <v>27</v>
      </c>
      <c r="B9" s="9">
        <f ca="1">B5-B6-B7</f>
        <v>0</v>
      </c>
      <c r="C9" s="9" t="e">
        <f t="shared" ref="C9" ca="1" si="0">C5-C6-C7</f>
        <v>#REF!</v>
      </c>
      <c r="D9" s="9" t="e">
        <f ca="1">D5+D6+D7</f>
        <v>#REF!</v>
      </c>
      <c r="E9" s="13"/>
    </row>
    <row r="11" spans="1:2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>
      <c r="A13" s="16" t="s">
        <v>12</v>
      </c>
      <c r="B13" s="7">
        <v>2500</v>
      </c>
      <c r="C13" s="7" t="e" cm="1">
        <f t="array" aca="1" ref="C13" ca="1">_xlfn.XLOOKUP(A13,INDIRECT("'Finanse 8.12.xlsx'!incomes_"&amp;$A$2&amp;"[Category]"),INDIRECT("'Finanse 8.12.xlsx'!incomes_"&amp;$A$2&amp;"[Total]"),0,0,1)</f>
        <v>#REF!</v>
      </c>
      <c r="D13" s="17" t="e">
        <f ca="1">C13-B13</f>
        <v>#REF!</v>
      </c>
      <c r="F13" s="21" t="s">
        <v>41</v>
      </c>
      <c r="G13" s="3">
        <v>1735</v>
      </c>
      <c r="H13" s="3" t="e" cm="1">
        <f t="array" aca="1" ref="H13" ca="1">-_xlfn.XLOOKUP(F13,INDIRECT("'Finanse 8.12.xlsx'!expenses_"&amp;$A$2&amp;"[Category]"),INDIRECT("'Finanse 8.12.xlsx'!expenses_"&amp;$A$2&amp;"[Total]"),0,0,1)</f>
        <v>#REF!</v>
      </c>
      <c r="I13" s="22" t="e">
        <f ca="1">G13-H13</f>
        <v>#REF!</v>
      </c>
      <c r="K13" s="29" t="s">
        <v>13</v>
      </c>
      <c r="L13" s="14">
        <f ca="1">DATE(2025,$A$2,10)</f>
        <v>45818</v>
      </c>
      <c r="M13" s="8">
        <v>1500</v>
      </c>
      <c r="N13" s="30"/>
      <c r="P13" s="38" t="s">
        <v>18</v>
      </c>
      <c r="Q13" s="15">
        <f ca="1">DATE(2025,$A$2,5)</f>
        <v>45813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Savings_6[[#This Row],[Planned]]-Savings_6[[#This Row],[Actual]]</f>
        <v>500</v>
      </c>
    </row>
    <row r="14" spans="1:24">
      <c r="A14" s="16" t="s">
        <v>28</v>
      </c>
      <c r="B14" s="7">
        <v>300</v>
      </c>
      <c r="C14" s="7" t="e" cm="1">
        <f t="array" aca="1" ref="C14" ca="1">_xlfn.XLOOKUP(A14,INDIRECT("'Finanse 8.12.xlsx'!incomes_"&amp;$A$2&amp;"[Category]"),INDIRECT("'Finanse 8.12.xlsx'!incomes_"&amp;$A$2&amp;"[Total]"),0,0,1)</f>
        <v>#REF!</v>
      </c>
      <c r="D14" s="17" t="e">
        <f t="shared" ref="D14:D18" ca="1" si="1">C14-B14</f>
        <v>#REF!</v>
      </c>
      <c r="F14" s="21" t="s">
        <v>31</v>
      </c>
      <c r="G14" s="3">
        <v>200</v>
      </c>
      <c r="H14" s="3" t="e" cm="1">
        <f t="array" aca="1" ref="H14" ca="1">-_xlfn.XLOOKUP(F14,INDIRECT("'Finanse 8.12.xlsx'!expenses_"&amp;$A$2&amp;"[Category]"),INDIRECT("'Finanse 8.12.xlsx'!expenses_"&amp;$A$2&amp;"[Total]"),0,0,1)</f>
        <v>#REF!</v>
      </c>
      <c r="I14" s="22" t="e">
        <f t="shared" ref="I14:I21" ca="1" si="2">G14-H14</f>
        <v>#REF!</v>
      </c>
      <c r="K14" s="29" t="s">
        <v>17</v>
      </c>
      <c r="L14" s="14">
        <f ca="1">DATE(2025,$A$2,15)</f>
        <v>45823</v>
      </c>
      <c r="M14" s="8">
        <v>80</v>
      </c>
      <c r="N14" s="30"/>
      <c r="P14" s="38" t="s">
        <v>14</v>
      </c>
      <c r="Q14" s="15">
        <f ca="1">DATE(2025,$A$2,24)</f>
        <v>45832</v>
      </c>
      <c r="R14" s="5">
        <v>33</v>
      </c>
      <c r="S14" s="39"/>
      <c r="U14" s="47" t="s">
        <v>39</v>
      </c>
      <c r="V14" s="9">
        <v>800</v>
      </c>
      <c r="W14" s="48"/>
      <c r="X14" s="9">
        <f>Savings_6[[#This Row],[Planned]]-Savings_6[[#This Row],[Actual]]</f>
        <v>800</v>
      </c>
    </row>
    <row r="15" spans="1:24">
      <c r="A15" s="16" t="s">
        <v>29</v>
      </c>
      <c r="B15" s="7">
        <v>500</v>
      </c>
      <c r="C15" s="7" t="e" cm="1">
        <f t="array" aca="1" ref="C15" ca="1">_xlfn.XLOOKUP(A15,INDIRECT("'Finanse 8.12.xlsx'!incomes_"&amp;$A$2&amp;"[Category]"),INDIRECT("'Finanse 8.12.xlsx'!incomes_"&amp;$A$2&amp;"[Total]"),0,0,1)</f>
        <v>#REF!</v>
      </c>
      <c r="D15" s="17" t="e">
        <f t="shared" ca="1" si="1"/>
        <v>#REF!</v>
      </c>
      <c r="F15" s="21" t="s">
        <v>23</v>
      </c>
      <c r="G15" s="3">
        <v>300</v>
      </c>
      <c r="H15" s="3" t="e" cm="1">
        <f t="array" aca="1" ref="H15" ca="1">-_xlfn.XLOOKUP(F15,INDIRECT("'Finanse 8.12.xlsx'!expenses_"&amp;$A$2&amp;"[Category]"),INDIRECT("'Finanse 8.12.xlsx'!expenses_"&amp;$A$2&amp;"[Total]"),0,0,1)</f>
        <v>#REF!</v>
      </c>
      <c r="I15" s="22" t="e">
        <f t="shared" ca="1" si="2"/>
        <v>#REF!</v>
      </c>
      <c r="K15" s="29" t="s">
        <v>20</v>
      </c>
      <c r="L15" s="14">
        <f t="shared" ref="L15:L16" ca="1" si="3">DATE(2025,$A$2,10)</f>
        <v>45818</v>
      </c>
      <c r="M15" s="8">
        <v>35</v>
      </c>
      <c r="N15" s="30"/>
      <c r="P15" s="38" t="s">
        <v>36</v>
      </c>
      <c r="Q15" s="15">
        <f ca="1">DATE(2025,$A$2,2)</f>
        <v>45810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Savings_6[[#This Row],[Planned]]-Savings_6[[#This Row],[Actual]]</f>
        <v>605</v>
      </c>
    </row>
    <row r="16" spans="1:24">
      <c r="A16" s="16" t="s">
        <v>40</v>
      </c>
      <c r="B16" s="7">
        <v>100</v>
      </c>
      <c r="C16" s="7" t="e" cm="1">
        <f t="array" aca="1" ref="C16" ca="1">_xlfn.XLOOKUP(A16,INDIRECT("'Finanse 8.12.xlsx'!incomes_"&amp;$A$2&amp;"[Category]"),INDIRECT("'Finanse 8.12.xlsx'!incomes_"&amp;$A$2&amp;"[Total]"),0,0,1)</f>
        <v>#REF!</v>
      </c>
      <c r="D16" s="17" t="e">
        <f t="shared" ca="1" si="1"/>
        <v>#REF!</v>
      </c>
      <c r="F16" s="21" t="s">
        <v>16</v>
      </c>
      <c r="G16" s="3">
        <v>750</v>
      </c>
      <c r="H16" s="3" t="e" cm="1">
        <f t="array" aca="1" ref="H16" ca="1">-_xlfn.XLOOKUP(F16,INDIRECT("'Finanse 8.12.xlsx'!expenses_"&amp;$A$2&amp;"[Category]"),INDIRECT("'Finanse 8.12.xlsx'!expenses_"&amp;$A$2&amp;"[Total]"),0,0,1)</f>
        <v>#REF!</v>
      </c>
      <c r="I16" s="22" t="e">
        <f t="shared" ca="1" si="2"/>
        <v>#REF!</v>
      </c>
      <c r="K16" s="29" t="s">
        <v>19</v>
      </c>
      <c r="L16" s="14">
        <f t="shared" ca="1" si="3"/>
        <v>45818</v>
      </c>
      <c r="M16" s="8">
        <v>25</v>
      </c>
      <c r="N16" s="30"/>
      <c r="P16" s="38" t="s">
        <v>21</v>
      </c>
      <c r="Q16" s="15">
        <f ca="1">DATE(2025,$A$2,21)</f>
        <v>45829</v>
      </c>
      <c r="R16" s="5">
        <v>100</v>
      </c>
      <c r="S16" s="39"/>
      <c r="U16" s="47"/>
      <c r="V16" s="9"/>
      <c r="W16" s="48"/>
      <c r="X16" s="9">
        <f>Savings_6[[#This Row],[Planned]]-Savings_6[[#This Row],[Actual]]</f>
        <v>0</v>
      </c>
    </row>
    <row r="17" spans="1:24">
      <c r="A17" s="16" t="s">
        <v>30</v>
      </c>
      <c r="B17" s="7">
        <v>1500</v>
      </c>
      <c r="C17" s="7" t="e" cm="1">
        <f t="array" aca="1" ref="C17" ca="1">_xlfn.XLOOKUP(A17,INDIRECT("'Finanse 8.12.xlsx'!incomes_"&amp;$A$2&amp;"[Category]"),INDIRECT("'Finanse 8.12.xlsx'!incomes_"&amp;$A$2&amp;"[Total]"),0,0,1)</f>
        <v>#REF!</v>
      </c>
      <c r="D17" s="17" t="e">
        <f t="shared" ca="1" si="1"/>
        <v>#REF!</v>
      </c>
      <c r="F17" s="21" t="s">
        <v>32</v>
      </c>
      <c r="G17" s="3">
        <v>130</v>
      </c>
      <c r="H17" s="3" t="e" cm="1">
        <f t="array" aca="1" ref="H17" ca="1">-_xlfn.XLOOKUP(F17,INDIRECT("'Finanse 8.12.xlsx'!expenses_"&amp;$A$2&amp;"[Category]"),INDIRECT("'Finanse 8.12.xlsx'!expenses_"&amp;$A$2&amp;"[Total]"),0,0,1)</f>
        <v>#REF!</v>
      </c>
      <c r="I17" s="22" t="e">
        <f t="shared" ca="1" si="2"/>
        <v>#REF!</v>
      </c>
      <c r="K17" s="29" t="s">
        <v>22</v>
      </c>
      <c r="L17" s="14">
        <f ca="1">DATE(2025,$A$2,28)</f>
        <v>45836</v>
      </c>
      <c r="M17" s="8">
        <v>35</v>
      </c>
      <c r="N17" s="30"/>
      <c r="P17" s="38" t="s">
        <v>37</v>
      </c>
      <c r="Q17" s="15">
        <f ca="1">DATE(2025,$A$2,12)</f>
        <v>45820</v>
      </c>
      <c r="R17" s="5">
        <v>42.69</v>
      </c>
      <c r="S17" s="39"/>
      <c r="U17" s="47"/>
      <c r="V17" s="9"/>
      <c r="W17" s="48"/>
      <c r="X17" s="9">
        <f>Savings_6[[#This Row],[Planned]]-Savings_6[[#This Row],[Actual]]</f>
        <v>0</v>
      </c>
    </row>
    <row r="18" spans="1:24">
      <c r="A18" s="16" t="s">
        <v>15</v>
      </c>
      <c r="B18" s="7">
        <v>800</v>
      </c>
      <c r="C18" s="7" t="e" cm="1">
        <f t="array" aca="1" ref="C18" ca="1">_xlfn.XLOOKUP(A18,INDIRECT("'Finanse 8.12.xlsx'!incomes_"&amp;$A$2&amp;"[Category]"),INDIRECT("'Finanse 8.12.xlsx'!incomes_"&amp;$A$2&amp;"[Total]"),0,0,1)</f>
        <v>#REF!</v>
      </c>
      <c r="D18" s="17" t="e">
        <f t="shared" ca="1" si="1"/>
        <v>#REF!</v>
      </c>
      <c r="F18" s="21" t="s">
        <v>33</v>
      </c>
      <c r="G18" s="3">
        <v>130</v>
      </c>
      <c r="H18" s="3" t="e" cm="1">
        <f t="array" aca="1" ref="H18" ca="1">-_xlfn.XLOOKUP(F18,INDIRECT("'Finanse 8.12.xlsx'!expenses_"&amp;$A$2&amp;"[Category]"),INDIRECT("'Finanse 8.12.xlsx'!expenses_"&amp;$A$2&amp;"[Total]"),0,0,1)</f>
        <v>#REF!</v>
      </c>
      <c r="I18" s="22" t="e">
        <f t="shared" ca="1" si="2"/>
        <v>#REF!</v>
      </c>
      <c r="K18" s="29" t="s">
        <v>24</v>
      </c>
      <c r="L18" s="14">
        <f ca="1">DATE(2025,$A$2,20)</f>
        <v>45828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Savings_6[[#This Row],[Planned]]-Savings_6[[#This Row],[Actual]]</f>
        <v>0</v>
      </c>
    </row>
    <row r="19" spans="1:24">
      <c r="A19" s="16"/>
      <c r="B19" s="7"/>
      <c r="C19" s="7"/>
      <c r="D19" s="17"/>
      <c r="E19" s="6"/>
      <c r="F19" s="21" t="s">
        <v>42</v>
      </c>
      <c r="G19" s="3">
        <v>200</v>
      </c>
      <c r="H19" s="3" t="e" cm="1">
        <f t="array" aca="1" ref="H19" ca="1">-_xlfn.XLOOKUP(F19,INDIRECT("'Finanse 8.12.xlsx'!expenses_"&amp;$A$2&amp;"[Category]"),INDIRECT("'Finanse 8.12.xlsx'!expenses_"&amp;$A$2&amp;"[Total]"),0,0,1)</f>
        <v>#REF!</v>
      </c>
      <c r="I19" s="22" t="e">
        <f t="shared" ca="1" si="2"/>
        <v>#REF!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Savings_6[[#This Row],[Planned]]-Savings_6[[#This Row],[Actual]]</f>
        <v>0</v>
      </c>
    </row>
    <row r="20" spans="1:24">
      <c r="A20" s="16"/>
      <c r="B20" s="7"/>
      <c r="C20" s="7"/>
      <c r="D20" s="17"/>
      <c r="F20" s="21" t="s">
        <v>34</v>
      </c>
      <c r="G20" s="3">
        <v>200</v>
      </c>
      <c r="H20" s="3" t="e" cm="1">
        <f t="array" aca="1" ref="H20" ca="1">-_xlfn.XLOOKUP(F20,INDIRECT("'Finanse 8.12.xlsx'!expenses_"&amp;$A$2&amp;"[Category]"),INDIRECT("'Finanse 8.12.xlsx'!expenses_"&amp;$A$2&amp;"[Total]"),0,0,1)</f>
        <v>#REF!</v>
      </c>
      <c r="I20" s="22" t="e">
        <f t="shared" ca="1" si="2"/>
        <v>#REF!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Savings_6[[#This Row],[Planned]]-Savings_6[[#This Row],[Actual]]</f>
        <v>0</v>
      </c>
    </row>
    <row r="21" spans="1:24">
      <c r="A21" s="16"/>
      <c r="B21" s="7"/>
      <c r="C21" s="7"/>
      <c r="D21" s="17"/>
      <c r="F21" s="21" t="s">
        <v>35</v>
      </c>
      <c r="G21" s="3">
        <v>150</v>
      </c>
      <c r="H21" s="3" t="e" cm="1">
        <f t="array" aca="1" ref="H21" ca="1">-_xlfn.XLOOKUP(F21,INDIRECT("'Finanse 8.12.xlsx'!expenses_"&amp;$A$2&amp;"[Category]"),INDIRECT("'Finanse 8.12.xlsx'!expenses_"&amp;$A$2&amp;"[Total]"),0,0,1)</f>
        <v>#REF!</v>
      </c>
      <c r="I21" s="22" t="e">
        <f t="shared" ca="1" si="2"/>
        <v>#REF!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Savings_6[[#This Row],[Planned]]-Savings_6[[#This Row],[Actual]]</f>
        <v>0</v>
      </c>
    </row>
    <row r="22" spans="1:2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Savings_6[[#This Row],[Planned]]-Savings_6[[#This Row],[Actual]]</f>
        <v>0</v>
      </c>
    </row>
    <row r="23" spans="1:2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Savings_6[[#This Row],[Planned]]-Savings_6[[#This Row],[Actual]]</f>
        <v>0</v>
      </c>
    </row>
    <row r="24" spans="1:2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Savings_6[[#This Row],[Planned]]-Savings_6[[#This Row],[Actual]]</f>
        <v>0</v>
      </c>
    </row>
    <row r="25" spans="1:2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Savings_6[[#This Row],[Planned]]-Savings_6[[#This Row],[Actual]]</f>
        <v>0</v>
      </c>
    </row>
    <row r="26" spans="1:2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Savings_6[[#This Row],[Planned]]-Savings_6[[#This Row],[Actual]]</f>
        <v>0</v>
      </c>
    </row>
    <row r="27" spans="1:24" ht="22.5">
      <c r="A27" s="61" t="s">
        <v>45</v>
      </c>
      <c r="B27" s="62">
        <f>SUM(B13:B26)</f>
        <v>5700</v>
      </c>
      <c r="C27" s="62" t="e">
        <f ca="1">SUM(Income_6[Actual])</f>
        <v>#REF!</v>
      </c>
      <c r="D27" s="63" t="e">
        <f ca="1">SUBTOTAL(109,Income_6[Left])</f>
        <v>#REF!</v>
      </c>
      <c r="F27" s="58" t="s">
        <v>45</v>
      </c>
      <c r="G27" s="59">
        <f>SUM(G13:G26)</f>
        <v>3795</v>
      </c>
      <c r="H27" s="59" t="e">
        <f ca="1">SUM(H13:H26)</f>
        <v>#REF!</v>
      </c>
      <c r="I27" s="60" t="e">
        <f ca="1">SUBTOTAL(109,Expenses_6[Left])</f>
        <v>#REF!</v>
      </c>
      <c r="K27" s="64" t="s">
        <v>45</v>
      </c>
      <c r="L27" s="65"/>
      <c r="M27" s="66">
        <f>SUM(M13:M26)</f>
        <v>1735</v>
      </c>
      <c r="N27" s="67">
        <f>SUBTOTAL(103,Bills_6[Actual])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SUBTOTAL(103,Subscriptions_6[Actual])</f>
        <v>0</v>
      </c>
      <c r="U27" s="72" t="s">
        <v>45</v>
      </c>
      <c r="V27" s="73">
        <f>SUM(V13:V26)</f>
        <v>1905</v>
      </c>
      <c r="W27" s="74">
        <f>SUBTOTAL(109,Savings_6[Actual])</f>
        <v>0</v>
      </c>
      <c r="X27" s="10">
        <f>SUM(Savings_6[Left])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2A602-B3A5-42E1-AFBA-33D766A54779}">
  <sheetPr codeName="Sheet7"/>
  <dimension ref="A1:X27"/>
  <sheetViews>
    <sheetView zoomScale="115" zoomScaleNormal="115" workbookViewId="0">
      <selection activeCell="C3" sqref="C3"/>
    </sheetView>
  </sheetViews>
  <sheetFormatPr defaultColWidth="9.125" defaultRowHeight="21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>
      <c r="A1" s="79" t="s">
        <v>25</v>
      </c>
      <c r="B1" s="80"/>
      <c r="C1" s="80"/>
      <c r="D1" s="80"/>
      <c r="E1" s="12"/>
    </row>
    <row r="2" spans="1:24">
      <c r="A2" s="81" t="str" cm="1">
        <f t="array" aca="1" ref="A2" ca="1">RIGHT(CELL("filename",A1),LEN(CELL("filename",A1))-FIND("]",CELL("filename",A1)))</f>
        <v>7</v>
      </c>
      <c r="B2" s="82"/>
      <c r="C2" s="82"/>
      <c r="D2" s="82"/>
    </row>
    <row r="4" spans="1:24">
      <c r="B4" s="11" t="s">
        <v>6</v>
      </c>
      <c r="C4" s="11" t="s">
        <v>7</v>
      </c>
      <c r="D4" s="11" t="s">
        <v>26</v>
      </c>
      <c r="E4" s="13"/>
    </row>
    <row r="5" spans="1:24">
      <c r="A5" s="11" t="s">
        <v>46</v>
      </c>
      <c r="B5" s="9" cm="1">
        <f t="array" aca="1" ref="B5" ca="1">INDIRECT($A5&amp;"_1[[#Totals],["&amp;B$4&amp;"]]")</f>
        <v>5700</v>
      </c>
      <c r="C5" s="9" t="e" cm="1">
        <f t="array" aca="1" ref="C5" ca="1">INDIRECT($A5&amp;"_1[[#Totals],["&amp;C$4&amp;"]]")</f>
        <v>#REF!</v>
      </c>
      <c r="D5" s="9" t="e" cm="1">
        <f t="array" aca="1" ref="D5" ca="1">INDIRECT($A5&amp;"_1[[#Totals],["&amp;D$4&amp;"]]")</f>
        <v>#REF!</v>
      </c>
      <c r="E5" s="13"/>
    </row>
    <row r="6" spans="1:24">
      <c r="A6" s="11" t="s">
        <v>1</v>
      </c>
      <c r="B6" s="9" cm="1">
        <f t="array" aca="1" ref="B6" ca="1">INDIRECT($A6&amp;"_1[[#Totals],["&amp;B$4&amp;"]]")</f>
        <v>3795</v>
      </c>
      <c r="C6" s="9" t="e" cm="1">
        <f t="array" aca="1" ref="C6" ca="1">INDIRECT($A6&amp;"_1[[#Totals],["&amp;C$4&amp;"]]")</f>
        <v>#REF!</v>
      </c>
      <c r="D6" s="9" t="e" cm="1">
        <f t="array" aca="1" ref="D6" ca="1">INDIRECT($A6&amp;"_1[[#Totals],["&amp;D$4&amp;"]]")</f>
        <v>#REF!</v>
      </c>
      <c r="E6" s="13"/>
    </row>
    <row r="7" spans="1:2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>
      <c r="A9" s="11" t="s">
        <v>27</v>
      </c>
      <c r="B9" s="9">
        <f ca="1">B5-B6-B7</f>
        <v>0</v>
      </c>
      <c r="C9" s="9" t="e">
        <f t="shared" ref="C9" ca="1" si="0">C5-C6-C7</f>
        <v>#REF!</v>
      </c>
      <c r="D9" s="9" t="e">
        <f ca="1">D5+D6+D7</f>
        <v>#REF!</v>
      </c>
      <c r="E9" s="13"/>
    </row>
    <row r="11" spans="1:2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>
      <c r="A13" s="16" t="s">
        <v>12</v>
      </c>
      <c r="B13" s="7">
        <v>2500</v>
      </c>
      <c r="C13" s="7" t="e" cm="1">
        <f t="array" aca="1" ref="C13" ca="1">_xlfn.XLOOKUP(A13,INDIRECT("'Finanse 8.12.xlsx'!incomes_"&amp;$A$2&amp;"[Category]"),INDIRECT("'Finanse 8.12.xlsx'!incomes_"&amp;$A$2&amp;"[Total]"),0,0,1)</f>
        <v>#REF!</v>
      </c>
      <c r="D13" s="17" t="e">
        <f ca="1">C13-B13</f>
        <v>#REF!</v>
      </c>
      <c r="F13" s="21" t="s">
        <v>41</v>
      </c>
      <c r="G13" s="3">
        <v>1735</v>
      </c>
      <c r="H13" s="3" t="e" cm="1">
        <f t="array" aca="1" ref="H13" ca="1">-_xlfn.XLOOKUP(F13,INDIRECT("'Finanse 8.12.xlsx'!expenses_"&amp;$A$2&amp;"[Category]"),INDIRECT("'Finanse 8.12.xlsx'!expenses_"&amp;$A$2&amp;"[Total]"),0,0,1)</f>
        <v>#REF!</v>
      </c>
      <c r="I13" s="22" t="e">
        <f ca="1">G13-H13</f>
        <v>#REF!</v>
      </c>
      <c r="K13" s="29" t="s">
        <v>13</v>
      </c>
      <c r="L13" s="14">
        <f ca="1">DATE(2025,$A$2,10)</f>
        <v>45848</v>
      </c>
      <c r="M13" s="8">
        <v>1500</v>
      </c>
      <c r="N13" s="30"/>
      <c r="P13" s="38" t="s">
        <v>18</v>
      </c>
      <c r="Q13" s="15">
        <f ca="1">DATE(2025,$A$2,5)</f>
        <v>45843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Savings_7[[#This Row],[Planned]]-Savings_7[[#This Row],[Actual]]</f>
        <v>500</v>
      </c>
    </row>
    <row r="14" spans="1:24">
      <c r="A14" s="16" t="s">
        <v>28</v>
      </c>
      <c r="B14" s="7">
        <v>300</v>
      </c>
      <c r="C14" s="7" t="e" cm="1">
        <f t="array" aca="1" ref="C14" ca="1">_xlfn.XLOOKUP(A14,INDIRECT("'Finanse 8.12.xlsx'!incomes_"&amp;$A$2&amp;"[Category]"),INDIRECT("'Finanse 8.12.xlsx'!incomes_"&amp;$A$2&amp;"[Total]"),0,0,1)</f>
        <v>#REF!</v>
      </c>
      <c r="D14" s="17" t="e">
        <f t="shared" ref="D14:D18" ca="1" si="1">C14-B14</f>
        <v>#REF!</v>
      </c>
      <c r="F14" s="21" t="s">
        <v>31</v>
      </c>
      <c r="G14" s="3">
        <v>200</v>
      </c>
      <c r="H14" s="3" t="e" cm="1">
        <f t="array" aca="1" ref="H14" ca="1">-_xlfn.XLOOKUP(F14,INDIRECT("'Finanse 8.12.xlsx'!expenses_"&amp;$A$2&amp;"[Category]"),INDIRECT("'Finanse 8.12.xlsx'!expenses_"&amp;$A$2&amp;"[Total]"),0,0,1)</f>
        <v>#REF!</v>
      </c>
      <c r="I14" s="22" t="e">
        <f t="shared" ref="I14:I21" ca="1" si="2">G14-H14</f>
        <v>#REF!</v>
      </c>
      <c r="K14" s="29" t="s">
        <v>17</v>
      </c>
      <c r="L14" s="14">
        <f ca="1">DATE(2025,$A$2,15)</f>
        <v>45853</v>
      </c>
      <c r="M14" s="8">
        <v>80</v>
      </c>
      <c r="N14" s="30"/>
      <c r="P14" s="38" t="s">
        <v>14</v>
      </c>
      <c r="Q14" s="15">
        <f ca="1">DATE(2025,$A$2,24)</f>
        <v>45862</v>
      </c>
      <c r="R14" s="5">
        <v>33</v>
      </c>
      <c r="S14" s="39"/>
      <c r="U14" s="47" t="s">
        <v>39</v>
      </c>
      <c r="V14" s="9">
        <v>800</v>
      </c>
      <c r="W14" s="48"/>
      <c r="X14" s="9">
        <f>Savings_7[[#This Row],[Planned]]-Savings_7[[#This Row],[Actual]]</f>
        <v>800</v>
      </c>
    </row>
    <row r="15" spans="1:24">
      <c r="A15" s="16" t="s">
        <v>29</v>
      </c>
      <c r="B15" s="7">
        <v>500</v>
      </c>
      <c r="C15" s="7" t="e" cm="1">
        <f t="array" aca="1" ref="C15" ca="1">_xlfn.XLOOKUP(A15,INDIRECT("'Finanse 8.12.xlsx'!incomes_"&amp;$A$2&amp;"[Category]"),INDIRECT("'Finanse 8.12.xlsx'!incomes_"&amp;$A$2&amp;"[Total]"),0,0,1)</f>
        <v>#REF!</v>
      </c>
      <c r="D15" s="17" t="e">
        <f t="shared" ca="1" si="1"/>
        <v>#REF!</v>
      </c>
      <c r="F15" s="21" t="s">
        <v>23</v>
      </c>
      <c r="G15" s="3">
        <v>300</v>
      </c>
      <c r="H15" s="3" t="e" cm="1">
        <f t="array" aca="1" ref="H15" ca="1">-_xlfn.XLOOKUP(F15,INDIRECT("'Finanse 8.12.xlsx'!expenses_"&amp;$A$2&amp;"[Category]"),INDIRECT("'Finanse 8.12.xlsx'!expenses_"&amp;$A$2&amp;"[Total]"),0,0,1)</f>
        <v>#REF!</v>
      </c>
      <c r="I15" s="22" t="e">
        <f t="shared" ca="1" si="2"/>
        <v>#REF!</v>
      </c>
      <c r="K15" s="29" t="s">
        <v>20</v>
      </c>
      <c r="L15" s="14">
        <f t="shared" ref="L15:L16" ca="1" si="3">DATE(2025,$A$2,10)</f>
        <v>45848</v>
      </c>
      <c r="M15" s="8">
        <v>35</v>
      </c>
      <c r="N15" s="30"/>
      <c r="P15" s="38" t="s">
        <v>36</v>
      </c>
      <c r="Q15" s="15">
        <f ca="1">DATE(2025,$A$2,2)</f>
        <v>45840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Savings_7[[#This Row],[Planned]]-Savings_7[[#This Row],[Actual]]</f>
        <v>605</v>
      </c>
    </row>
    <row r="16" spans="1:24">
      <c r="A16" s="16" t="s">
        <v>40</v>
      </c>
      <c r="B16" s="7">
        <v>100</v>
      </c>
      <c r="C16" s="7" t="e" cm="1">
        <f t="array" aca="1" ref="C16" ca="1">_xlfn.XLOOKUP(A16,INDIRECT("'Finanse 8.12.xlsx'!incomes_"&amp;$A$2&amp;"[Category]"),INDIRECT("'Finanse 8.12.xlsx'!incomes_"&amp;$A$2&amp;"[Total]"),0,0,1)</f>
        <v>#REF!</v>
      </c>
      <c r="D16" s="17" t="e">
        <f t="shared" ca="1" si="1"/>
        <v>#REF!</v>
      </c>
      <c r="F16" s="21" t="s">
        <v>16</v>
      </c>
      <c r="G16" s="3">
        <v>750</v>
      </c>
      <c r="H16" s="3" t="e" cm="1">
        <f t="array" aca="1" ref="H16" ca="1">-_xlfn.XLOOKUP(F16,INDIRECT("'Finanse 8.12.xlsx'!expenses_"&amp;$A$2&amp;"[Category]"),INDIRECT("'Finanse 8.12.xlsx'!expenses_"&amp;$A$2&amp;"[Total]"),0,0,1)</f>
        <v>#REF!</v>
      </c>
      <c r="I16" s="22" t="e">
        <f t="shared" ca="1" si="2"/>
        <v>#REF!</v>
      </c>
      <c r="K16" s="29" t="s">
        <v>19</v>
      </c>
      <c r="L16" s="14">
        <f t="shared" ca="1" si="3"/>
        <v>45848</v>
      </c>
      <c r="M16" s="8">
        <v>25</v>
      </c>
      <c r="N16" s="30"/>
      <c r="P16" s="38" t="s">
        <v>21</v>
      </c>
      <c r="Q16" s="15">
        <f ca="1">DATE(2025,$A$2,21)</f>
        <v>45859</v>
      </c>
      <c r="R16" s="5">
        <v>100</v>
      </c>
      <c r="S16" s="39"/>
      <c r="U16" s="47"/>
      <c r="V16" s="9"/>
      <c r="W16" s="48"/>
      <c r="X16" s="9">
        <f>Savings_7[[#This Row],[Planned]]-Savings_7[[#This Row],[Actual]]</f>
        <v>0</v>
      </c>
    </row>
    <row r="17" spans="1:24">
      <c r="A17" s="16" t="s">
        <v>30</v>
      </c>
      <c r="B17" s="7">
        <v>1500</v>
      </c>
      <c r="C17" s="7" t="e" cm="1">
        <f t="array" aca="1" ref="C17" ca="1">_xlfn.XLOOKUP(A17,INDIRECT("'Finanse 8.12.xlsx'!incomes_"&amp;$A$2&amp;"[Category]"),INDIRECT("'Finanse 8.12.xlsx'!incomes_"&amp;$A$2&amp;"[Total]"),0,0,1)</f>
        <v>#REF!</v>
      </c>
      <c r="D17" s="17" t="e">
        <f t="shared" ca="1" si="1"/>
        <v>#REF!</v>
      </c>
      <c r="F17" s="21" t="s">
        <v>32</v>
      </c>
      <c r="G17" s="3">
        <v>130</v>
      </c>
      <c r="H17" s="3" t="e" cm="1">
        <f t="array" aca="1" ref="H17" ca="1">-_xlfn.XLOOKUP(F17,INDIRECT("'Finanse 8.12.xlsx'!expenses_"&amp;$A$2&amp;"[Category]"),INDIRECT("'Finanse 8.12.xlsx'!expenses_"&amp;$A$2&amp;"[Total]"),0,0,1)</f>
        <v>#REF!</v>
      </c>
      <c r="I17" s="22" t="e">
        <f t="shared" ca="1" si="2"/>
        <v>#REF!</v>
      </c>
      <c r="K17" s="29" t="s">
        <v>22</v>
      </c>
      <c r="L17" s="14">
        <f ca="1">DATE(2025,$A$2,28)</f>
        <v>45866</v>
      </c>
      <c r="M17" s="8">
        <v>35</v>
      </c>
      <c r="N17" s="30"/>
      <c r="P17" s="38" t="s">
        <v>37</v>
      </c>
      <c r="Q17" s="15">
        <f ca="1">DATE(2025,$A$2,12)</f>
        <v>45850</v>
      </c>
      <c r="R17" s="5">
        <v>42.69</v>
      </c>
      <c r="S17" s="39"/>
      <c r="U17" s="47"/>
      <c r="V17" s="9"/>
      <c r="W17" s="48"/>
      <c r="X17" s="9">
        <f>Savings_7[[#This Row],[Planned]]-Savings_7[[#This Row],[Actual]]</f>
        <v>0</v>
      </c>
    </row>
    <row r="18" spans="1:24">
      <c r="A18" s="16" t="s">
        <v>15</v>
      </c>
      <c r="B18" s="7">
        <v>800</v>
      </c>
      <c r="C18" s="7" t="e" cm="1">
        <f t="array" aca="1" ref="C18" ca="1">_xlfn.XLOOKUP(A18,INDIRECT("'Finanse 8.12.xlsx'!incomes_"&amp;$A$2&amp;"[Category]"),INDIRECT("'Finanse 8.12.xlsx'!incomes_"&amp;$A$2&amp;"[Total]"),0,0,1)</f>
        <v>#REF!</v>
      </c>
      <c r="D18" s="17" t="e">
        <f t="shared" ca="1" si="1"/>
        <v>#REF!</v>
      </c>
      <c r="F18" s="21" t="s">
        <v>33</v>
      </c>
      <c r="G18" s="3">
        <v>130</v>
      </c>
      <c r="H18" s="3" t="e" cm="1">
        <f t="array" aca="1" ref="H18" ca="1">-_xlfn.XLOOKUP(F18,INDIRECT("'Finanse 8.12.xlsx'!expenses_"&amp;$A$2&amp;"[Category]"),INDIRECT("'Finanse 8.12.xlsx'!expenses_"&amp;$A$2&amp;"[Total]"),0,0,1)</f>
        <v>#REF!</v>
      </c>
      <c r="I18" s="22" t="e">
        <f t="shared" ca="1" si="2"/>
        <v>#REF!</v>
      </c>
      <c r="K18" s="29" t="s">
        <v>24</v>
      </c>
      <c r="L18" s="14">
        <f ca="1">DATE(2025,$A$2,20)</f>
        <v>45858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Savings_7[[#This Row],[Planned]]-Savings_7[[#This Row],[Actual]]</f>
        <v>0</v>
      </c>
    </row>
    <row r="19" spans="1:24">
      <c r="A19" s="16"/>
      <c r="B19" s="7"/>
      <c r="C19" s="7"/>
      <c r="D19" s="17"/>
      <c r="E19" s="6"/>
      <c r="F19" s="21" t="s">
        <v>42</v>
      </c>
      <c r="G19" s="3">
        <v>200</v>
      </c>
      <c r="H19" s="3" t="e" cm="1">
        <f t="array" aca="1" ref="H19" ca="1">-_xlfn.XLOOKUP(F19,INDIRECT("'Finanse 8.12.xlsx'!expenses_"&amp;$A$2&amp;"[Category]"),INDIRECT("'Finanse 8.12.xlsx'!expenses_"&amp;$A$2&amp;"[Total]"),0,0,1)</f>
        <v>#REF!</v>
      </c>
      <c r="I19" s="22" t="e">
        <f t="shared" ca="1" si="2"/>
        <v>#REF!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Savings_7[[#This Row],[Planned]]-Savings_7[[#This Row],[Actual]]</f>
        <v>0</v>
      </c>
    </row>
    <row r="20" spans="1:24">
      <c r="A20" s="16"/>
      <c r="B20" s="7"/>
      <c r="C20" s="7"/>
      <c r="D20" s="17"/>
      <c r="F20" s="21" t="s">
        <v>34</v>
      </c>
      <c r="G20" s="3">
        <v>200</v>
      </c>
      <c r="H20" s="3" t="e" cm="1">
        <f t="array" aca="1" ref="H20" ca="1">-_xlfn.XLOOKUP(F20,INDIRECT("'Finanse 8.12.xlsx'!expenses_"&amp;$A$2&amp;"[Category]"),INDIRECT("'Finanse 8.12.xlsx'!expenses_"&amp;$A$2&amp;"[Total]"),0,0,1)</f>
        <v>#REF!</v>
      </c>
      <c r="I20" s="22" t="e">
        <f t="shared" ca="1" si="2"/>
        <v>#REF!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Savings_7[[#This Row],[Planned]]-Savings_7[[#This Row],[Actual]]</f>
        <v>0</v>
      </c>
    </row>
    <row r="21" spans="1:24">
      <c r="A21" s="16"/>
      <c r="B21" s="7"/>
      <c r="C21" s="7"/>
      <c r="D21" s="17"/>
      <c r="F21" s="21" t="s">
        <v>35</v>
      </c>
      <c r="G21" s="3">
        <v>150</v>
      </c>
      <c r="H21" s="3" t="e" cm="1">
        <f t="array" aca="1" ref="H21" ca="1">-_xlfn.XLOOKUP(F21,INDIRECT("'Finanse 8.12.xlsx'!expenses_"&amp;$A$2&amp;"[Category]"),INDIRECT("'Finanse 8.12.xlsx'!expenses_"&amp;$A$2&amp;"[Total]"),0,0,1)</f>
        <v>#REF!</v>
      </c>
      <c r="I21" s="22" t="e">
        <f t="shared" ca="1" si="2"/>
        <v>#REF!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Savings_7[[#This Row],[Planned]]-Savings_7[[#This Row],[Actual]]</f>
        <v>0</v>
      </c>
    </row>
    <row r="22" spans="1:2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Savings_7[[#This Row],[Planned]]-Savings_7[[#This Row],[Actual]]</f>
        <v>0</v>
      </c>
    </row>
    <row r="23" spans="1:2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Savings_7[[#This Row],[Planned]]-Savings_7[[#This Row],[Actual]]</f>
        <v>0</v>
      </c>
    </row>
    <row r="24" spans="1:2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Savings_7[[#This Row],[Planned]]-Savings_7[[#This Row],[Actual]]</f>
        <v>0</v>
      </c>
    </row>
    <row r="25" spans="1:2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Savings_7[[#This Row],[Planned]]-Savings_7[[#This Row],[Actual]]</f>
        <v>0</v>
      </c>
    </row>
    <row r="26" spans="1:2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Savings_7[[#This Row],[Planned]]-Savings_7[[#This Row],[Actual]]</f>
        <v>0</v>
      </c>
    </row>
    <row r="27" spans="1:24" ht="22.5">
      <c r="A27" s="61" t="s">
        <v>45</v>
      </c>
      <c r="B27" s="62">
        <f>SUM(B13:B26)</f>
        <v>5700</v>
      </c>
      <c r="C27" s="62" t="e">
        <f ca="1">SUM(Income_7[Actual])</f>
        <v>#REF!</v>
      </c>
      <c r="D27" s="63" t="e">
        <f ca="1">SUBTOTAL(109,Income_7[Left])</f>
        <v>#REF!</v>
      </c>
      <c r="F27" s="58" t="s">
        <v>45</v>
      </c>
      <c r="G27" s="59">
        <f>SUM(G13:G26)</f>
        <v>3795</v>
      </c>
      <c r="H27" s="59" t="e">
        <f ca="1">SUM(H13:H26)</f>
        <v>#REF!</v>
      </c>
      <c r="I27" s="60" t="e">
        <f ca="1">SUBTOTAL(109,Expenses_7[Left])</f>
        <v>#REF!</v>
      </c>
      <c r="K27" s="64" t="s">
        <v>45</v>
      </c>
      <c r="L27" s="65"/>
      <c r="M27" s="66">
        <f>SUM(M13:M26)</f>
        <v>1735</v>
      </c>
      <c r="N27" s="67">
        <f>SUBTOTAL(103,Bills_7[Actual])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SUBTOTAL(103,Subscriptions_7[Actual])</f>
        <v>0</v>
      </c>
      <c r="U27" s="72" t="s">
        <v>45</v>
      </c>
      <c r="V27" s="73">
        <f>SUM(V13:V26)</f>
        <v>1905</v>
      </c>
      <c r="W27" s="74">
        <f>SUBTOTAL(109,Savings_7[Actual])</f>
        <v>0</v>
      </c>
      <c r="X27" s="10">
        <f>SUM(Savings_7[Left])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7E24F-F375-4480-AAEE-F9DFC4925553}">
  <sheetPr codeName="Sheet8"/>
  <dimension ref="A1:X27"/>
  <sheetViews>
    <sheetView zoomScale="115" zoomScaleNormal="115" workbookViewId="0">
      <selection activeCell="C3" sqref="C3"/>
    </sheetView>
  </sheetViews>
  <sheetFormatPr defaultColWidth="9.125" defaultRowHeight="21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>
      <c r="A1" s="79" t="s">
        <v>25</v>
      </c>
      <c r="B1" s="80"/>
      <c r="C1" s="80"/>
      <c r="D1" s="80"/>
      <c r="E1" s="12"/>
    </row>
    <row r="2" spans="1:24">
      <c r="A2" s="81" t="str" cm="1">
        <f t="array" aca="1" ref="A2" ca="1">RIGHT(CELL("filename",A1),LEN(CELL("filename",A1))-FIND("]",CELL("filename",A1)))</f>
        <v>8</v>
      </c>
      <c r="B2" s="82"/>
      <c r="C2" s="82"/>
      <c r="D2" s="82"/>
    </row>
    <row r="4" spans="1:24">
      <c r="B4" s="11" t="s">
        <v>6</v>
      </c>
      <c r="C4" s="11" t="s">
        <v>7</v>
      </c>
      <c r="D4" s="11" t="s">
        <v>26</v>
      </c>
      <c r="E4" s="13"/>
    </row>
    <row r="5" spans="1:24">
      <c r="A5" s="11" t="s">
        <v>46</v>
      </c>
      <c r="B5" s="9" cm="1">
        <f t="array" aca="1" ref="B5" ca="1">INDIRECT($A5&amp;"_1[[#Totals],["&amp;B$4&amp;"]]")</f>
        <v>5700</v>
      </c>
      <c r="C5" s="9" t="e" cm="1">
        <f t="array" aca="1" ref="C5" ca="1">INDIRECT($A5&amp;"_1[[#Totals],["&amp;C$4&amp;"]]")</f>
        <v>#REF!</v>
      </c>
      <c r="D5" s="9" t="e" cm="1">
        <f t="array" aca="1" ref="D5" ca="1">INDIRECT($A5&amp;"_1[[#Totals],["&amp;D$4&amp;"]]")</f>
        <v>#REF!</v>
      </c>
      <c r="E5" s="13"/>
    </row>
    <row r="6" spans="1:24">
      <c r="A6" s="11" t="s">
        <v>1</v>
      </c>
      <c r="B6" s="9" cm="1">
        <f t="array" aca="1" ref="B6" ca="1">INDIRECT($A6&amp;"_1[[#Totals],["&amp;B$4&amp;"]]")</f>
        <v>3795</v>
      </c>
      <c r="C6" s="9" t="e" cm="1">
        <f t="array" aca="1" ref="C6" ca="1">INDIRECT($A6&amp;"_1[[#Totals],["&amp;C$4&amp;"]]")</f>
        <v>#REF!</v>
      </c>
      <c r="D6" s="9" t="e" cm="1">
        <f t="array" aca="1" ref="D6" ca="1">INDIRECT($A6&amp;"_1[[#Totals],["&amp;D$4&amp;"]]")</f>
        <v>#REF!</v>
      </c>
      <c r="E6" s="13"/>
    </row>
    <row r="7" spans="1:2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>
      <c r="A9" s="11" t="s">
        <v>27</v>
      </c>
      <c r="B9" s="9">
        <f ca="1">B5-B6-B7</f>
        <v>0</v>
      </c>
      <c r="C9" s="9" t="e">
        <f t="shared" ref="C9" ca="1" si="0">C5-C6-C7</f>
        <v>#REF!</v>
      </c>
      <c r="D9" s="9" t="e">
        <f ca="1">D5+D6+D7</f>
        <v>#REF!</v>
      </c>
      <c r="E9" s="13"/>
    </row>
    <row r="11" spans="1:2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>
      <c r="A13" s="16" t="s">
        <v>12</v>
      </c>
      <c r="B13" s="7">
        <v>2500</v>
      </c>
      <c r="C13" s="7" t="e" cm="1">
        <f t="array" aca="1" ref="C13" ca="1">_xlfn.XLOOKUP(A13,INDIRECT("'Finanse 8.12.xlsx'!incomes_"&amp;$A$2&amp;"[Category]"),INDIRECT("'Finanse 8.12.xlsx'!incomes_"&amp;$A$2&amp;"[Total]"),0,0,1)</f>
        <v>#REF!</v>
      </c>
      <c r="D13" s="17" t="e">
        <f ca="1">C13-B13</f>
        <v>#REF!</v>
      </c>
      <c r="F13" s="21" t="s">
        <v>41</v>
      </c>
      <c r="G13" s="3">
        <v>1735</v>
      </c>
      <c r="H13" s="3" t="e" cm="1">
        <f t="array" aca="1" ref="H13" ca="1">-_xlfn.XLOOKUP(F13,INDIRECT("'Finanse 8.12.xlsx'!expenses_"&amp;$A$2&amp;"[Category]"),INDIRECT("'Finanse 8.12.xlsx'!expenses_"&amp;$A$2&amp;"[Total]"),0,0,1)</f>
        <v>#REF!</v>
      </c>
      <c r="I13" s="22" t="e">
        <f ca="1">G13-H13</f>
        <v>#REF!</v>
      </c>
      <c r="K13" s="29" t="s">
        <v>13</v>
      </c>
      <c r="L13" s="14">
        <f ca="1">DATE(2025,$A$2,10)</f>
        <v>45879</v>
      </c>
      <c r="M13" s="8">
        <v>1500</v>
      </c>
      <c r="N13" s="30"/>
      <c r="P13" s="38" t="s">
        <v>18</v>
      </c>
      <c r="Q13" s="15">
        <f ca="1">DATE(2025,$A$2,5)</f>
        <v>45874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Savings_8[[#This Row],[Planned]]-Savings_8[[#This Row],[Actual]]</f>
        <v>500</v>
      </c>
    </row>
    <row r="14" spans="1:24">
      <c r="A14" s="16" t="s">
        <v>28</v>
      </c>
      <c r="B14" s="7">
        <v>300</v>
      </c>
      <c r="C14" s="7" t="e" cm="1">
        <f t="array" aca="1" ref="C14" ca="1">_xlfn.XLOOKUP(A14,INDIRECT("'Finanse 8.12.xlsx'!incomes_"&amp;$A$2&amp;"[Category]"),INDIRECT("'Finanse 8.12.xlsx'!incomes_"&amp;$A$2&amp;"[Total]"),0,0,1)</f>
        <v>#REF!</v>
      </c>
      <c r="D14" s="17" t="e">
        <f t="shared" ref="D14:D18" ca="1" si="1">C14-B14</f>
        <v>#REF!</v>
      </c>
      <c r="F14" s="21" t="s">
        <v>31</v>
      </c>
      <c r="G14" s="3">
        <v>200</v>
      </c>
      <c r="H14" s="3" t="e" cm="1">
        <f t="array" aca="1" ref="H14" ca="1">-_xlfn.XLOOKUP(F14,INDIRECT("'Finanse 8.12.xlsx'!expenses_"&amp;$A$2&amp;"[Category]"),INDIRECT("'Finanse 8.12.xlsx'!expenses_"&amp;$A$2&amp;"[Total]"),0,0,1)</f>
        <v>#REF!</v>
      </c>
      <c r="I14" s="22" t="e">
        <f t="shared" ref="I14:I21" ca="1" si="2">G14-H14</f>
        <v>#REF!</v>
      </c>
      <c r="K14" s="29" t="s">
        <v>17</v>
      </c>
      <c r="L14" s="14">
        <f ca="1">DATE(2025,$A$2,15)</f>
        <v>45884</v>
      </c>
      <c r="M14" s="8">
        <v>80</v>
      </c>
      <c r="N14" s="30"/>
      <c r="P14" s="38" t="s">
        <v>14</v>
      </c>
      <c r="Q14" s="15">
        <f ca="1">DATE(2025,$A$2,24)</f>
        <v>45893</v>
      </c>
      <c r="R14" s="5">
        <v>33</v>
      </c>
      <c r="S14" s="39"/>
      <c r="U14" s="47" t="s">
        <v>39</v>
      </c>
      <c r="V14" s="9">
        <v>800</v>
      </c>
      <c r="W14" s="48"/>
      <c r="X14" s="9">
        <f>Savings_8[[#This Row],[Planned]]-Savings_8[[#This Row],[Actual]]</f>
        <v>800</v>
      </c>
    </row>
    <row r="15" spans="1:24">
      <c r="A15" s="16" t="s">
        <v>29</v>
      </c>
      <c r="B15" s="7">
        <v>500</v>
      </c>
      <c r="C15" s="7" t="e" cm="1">
        <f t="array" aca="1" ref="C15" ca="1">_xlfn.XLOOKUP(A15,INDIRECT("'Finanse 8.12.xlsx'!incomes_"&amp;$A$2&amp;"[Category]"),INDIRECT("'Finanse 8.12.xlsx'!incomes_"&amp;$A$2&amp;"[Total]"),0,0,1)</f>
        <v>#REF!</v>
      </c>
      <c r="D15" s="17" t="e">
        <f t="shared" ca="1" si="1"/>
        <v>#REF!</v>
      </c>
      <c r="F15" s="21" t="s">
        <v>23</v>
      </c>
      <c r="G15" s="3">
        <v>300</v>
      </c>
      <c r="H15" s="3" t="e" cm="1">
        <f t="array" aca="1" ref="H15" ca="1">-_xlfn.XLOOKUP(F15,INDIRECT("'Finanse 8.12.xlsx'!expenses_"&amp;$A$2&amp;"[Category]"),INDIRECT("'Finanse 8.12.xlsx'!expenses_"&amp;$A$2&amp;"[Total]"),0,0,1)</f>
        <v>#REF!</v>
      </c>
      <c r="I15" s="22" t="e">
        <f t="shared" ca="1" si="2"/>
        <v>#REF!</v>
      </c>
      <c r="K15" s="29" t="s">
        <v>20</v>
      </c>
      <c r="L15" s="14">
        <f t="shared" ref="L15:L16" ca="1" si="3">DATE(2025,$A$2,10)</f>
        <v>45879</v>
      </c>
      <c r="M15" s="8">
        <v>35</v>
      </c>
      <c r="N15" s="30"/>
      <c r="P15" s="38" t="s">
        <v>36</v>
      </c>
      <c r="Q15" s="15">
        <f ca="1">DATE(2025,$A$2,2)</f>
        <v>45871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Savings_8[[#This Row],[Planned]]-Savings_8[[#This Row],[Actual]]</f>
        <v>605</v>
      </c>
    </row>
    <row r="16" spans="1:24">
      <c r="A16" s="16" t="s">
        <v>40</v>
      </c>
      <c r="B16" s="7">
        <v>100</v>
      </c>
      <c r="C16" s="7" t="e" cm="1">
        <f t="array" aca="1" ref="C16" ca="1">_xlfn.XLOOKUP(A16,INDIRECT("'Finanse 8.12.xlsx'!incomes_"&amp;$A$2&amp;"[Category]"),INDIRECT("'Finanse 8.12.xlsx'!incomes_"&amp;$A$2&amp;"[Total]"),0,0,1)</f>
        <v>#REF!</v>
      </c>
      <c r="D16" s="17" t="e">
        <f t="shared" ca="1" si="1"/>
        <v>#REF!</v>
      </c>
      <c r="F16" s="21" t="s">
        <v>16</v>
      </c>
      <c r="G16" s="3">
        <v>750</v>
      </c>
      <c r="H16" s="3" t="e" cm="1">
        <f t="array" aca="1" ref="H16" ca="1">-_xlfn.XLOOKUP(F16,INDIRECT("'Finanse 8.12.xlsx'!expenses_"&amp;$A$2&amp;"[Category]"),INDIRECT("'Finanse 8.12.xlsx'!expenses_"&amp;$A$2&amp;"[Total]"),0,0,1)</f>
        <v>#REF!</v>
      </c>
      <c r="I16" s="22" t="e">
        <f t="shared" ca="1" si="2"/>
        <v>#REF!</v>
      </c>
      <c r="K16" s="29" t="s">
        <v>19</v>
      </c>
      <c r="L16" s="14">
        <f t="shared" ca="1" si="3"/>
        <v>45879</v>
      </c>
      <c r="M16" s="8">
        <v>25</v>
      </c>
      <c r="N16" s="30"/>
      <c r="P16" s="38" t="s">
        <v>21</v>
      </c>
      <c r="Q16" s="15">
        <f ca="1">DATE(2025,$A$2,21)</f>
        <v>45890</v>
      </c>
      <c r="R16" s="5">
        <v>100</v>
      </c>
      <c r="S16" s="39"/>
      <c r="U16" s="47"/>
      <c r="V16" s="9"/>
      <c r="W16" s="48"/>
      <c r="X16" s="9">
        <f>Savings_8[[#This Row],[Planned]]-Savings_8[[#This Row],[Actual]]</f>
        <v>0</v>
      </c>
    </row>
    <row r="17" spans="1:24">
      <c r="A17" s="16" t="s">
        <v>30</v>
      </c>
      <c r="B17" s="7">
        <v>1500</v>
      </c>
      <c r="C17" s="7" t="e" cm="1">
        <f t="array" aca="1" ref="C17" ca="1">_xlfn.XLOOKUP(A17,INDIRECT("'Finanse 8.12.xlsx'!incomes_"&amp;$A$2&amp;"[Category]"),INDIRECT("'Finanse 8.12.xlsx'!incomes_"&amp;$A$2&amp;"[Total]"),0,0,1)</f>
        <v>#REF!</v>
      </c>
      <c r="D17" s="17" t="e">
        <f t="shared" ca="1" si="1"/>
        <v>#REF!</v>
      </c>
      <c r="F17" s="21" t="s">
        <v>32</v>
      </c>
      <c r="G17" s="3">
        <v>130</v>
      </c>
      <c r="H17" s="3" t="e" cm="1">
        <f t="array" aca="1" ref="H17" ca="1">-_xlfn.XLOOKUP(F17,INDIRECT("'Finanse 8.12.xlsx'!expenses_"&amp;$A$2&amp;"[Category]"),INDIRECT("'Finanse 8.12.xlsx'!expenses_"&amp;$A$2&amp;"[Total]"),0,0,1)</f>
        <v>#REF!</v>
      </c>
      <c r="I17" s="22" t="e">
        <f t="shared" ca="1" si="2"/>
        <v>#REF!</v>
      </c>
      <c r="K17" s="29" t="s">
        <v>22</v>
      </c>
      <c r="L17" s="14">
        <f ca="1">DATE(2025,$A$2,28)</f>
        <v>45897</v>
      </c>
      <c r="M17" s="8">
        <v>35</v>
      </c>
      <c r="N17" s="30"/>
      <c r="P17" s="38" t="s">
        <v>37</v>
      </c>
      <c r="Q17" s="15">
        <f ca="1">DATE(2025,$A$2,12)</f>
        <v>45881</v>
      </c>
      <c r="R17" s="5">
        <v>42.69</v>
      </c>
      <c r="S17" s="39"/>
      <c r="U17" s="47"/>
      <c r="V17" s="9"/>
      <c r="W17" s="48"/>
      <c r="X17" s="9">
        <f>Savings_8[[#This Row],[Planned]]-Savings_8[[#This Row],[Actual]]</f>
        <v>0</v>
      </c>
    </row>
    <row r="18" spans="1:24">
      <c r="A18" s="16" t="s">
        <v>15</v>
      </c>
      <c r="B18" s="7">
        <v>800</v>
      </c>
      <c r="C18" s="7" t="e" cm="1">
        <f t="array" aca="1" ref="C18" ca="1">_xlfn.XLOOKUP(A18,INDIRECT("'Finanse 8.12.xlsx'!incomes_"&amp;$A$2&amp;"[Category]"),INDIRECT("'Finanse 8.12.xlsx'!incomes_"&amp;$A$2&amp;"[Total]"),0,0,1)</f>
        <v>#REF!</v>
      </c>
      <c r="D18" s="17" t="e">
        <f t="shared" ca="1" si="1"/>
        <v>#REF!</v>
      </c>
      <c r="F18" s="21" t="s">
        <v>33</v>
      </c>
      <c r="G18" s="3">
        <v>130</v>
      </c>
      <c r="H18" s="3" t="e" cm="1">
        <f t="array" aca="1" ref="H18" ca="1">-_xlfn.XLOOKUP(F18,INDIRECT("'Finanse 8.12.xlsx'!expenses_"&amp;$A$2&amp;"[Category]"),INDIRECT("'Finanse 8.12.xlsx'!expenses_"&amp;$A$2&amp;"[Total]"),0,0,1)</f>
        <v>#REF!</v>
      </c>
      <c r="I18" s="22" t="e">
        <f t="shared" ca="1" si="2"/>
        <v>#REF!</v>
      </c>
      <c r="K18" s="29" t="s">
        <v>24</v>
      </c>
      <c r="L18" s="14">
        <f ca="1">DATE(2025,$A$2,20)</f>
        <v>45889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Savings_8[[#This Row],[Planned]]-Savings_8[[#This Row],[Actual]]</f>
        <v>0</v>
      </c>
    </row>
    <row r="19" spans="1:24">
      <c r="A19" s="16"/>
      <c r="B19" s="7"/>
      <c r="C19" s="7"/>
      <c r="D19" s="17"/>
      <c r="E19" s="6"/>
      <c r="F19" s="21" t="s">
        <v>42</v>
      </c>
      <c r="G19" s="3">
        <v>200</v>
      </c>
      <c r="H19" s="3" t="e" cm="1">
        <f t="array" aca="1" ref="H19" ca="1">-_xlfn.XLOOKUP(F19,INDIRECT("'Finanse 8.12.xlsx'!expenses_"&amp;$A$2&amp;"[Category]"),INDIRECT("'Finanse 8.12.xlsx'!expenses_"&amp;$A$2&amp;"[Total]"),0,0,1)</f>
        <v>#REF!</v>
      </c>
      <c r="I19" s="22" t="e">
        <f t="shared" ca="1" si="2"/>
        <v>#REF!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Savings_8[[#This Row],[Planned]]-Savings_8[[#This Row],[Actual]]</f>
        <v>0</v>
      </c>
    </row>
    <row r="20" spans="1:24">
      <c r="A20" s="16"/>
      <c r="B20" s="7"/>
      <c r="C20" s="7"/>
      <c r="D20" s="17"/>
      <c r="F20" s="21" t="s">
        <v>34</v>
      </c>
      <c r="G20" s="3">
        <v>200</v>
      </c>
      <c r="H20" s="3" t="e" cm="1">
        <f t="array" aca="1" ref="H20" ca="1">-_xlfn.XLOOKUP(F20,INDIRECT("'Finanse 8.12.xlsx'!expenses_"&amp;$A$2&amp;"[Category]"),INDIRECT("'Finanse 8.12.xlsx'!expenses_"&amp;$A$2&amp;"[Total]"),0,0,1)</f>
        <v>#REF!</v>
      </c>
      <c r="I20" s="22" t="e">
        <f t="shared" ca="1" si="2"/>
        <v>#REF!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Savings_8[[#This Row],[Planned]]-Savings_8[[#This Row],[Actual]]</f>
        <v>0</v>
      </c>
    </row>
    <row r="21" spans="1:24">
      <c r="A21" s="16"/>
      <c r="B21" s="7"/>
      <c r="C21" s="7"/>
      <c r="D21" s="17"/>
      <c r="F21" s="21" t="s">
        <v>35</v>
      </c>
      <c r="G21" s="3">
        <v>150</v>
      </c>
      <c r="H21" s="3" t="e" cm="1">
        <f t="array" aca="1" ref="H21" ca="1">-_xlfn.XLOOKUP(F21,INDIRECT("'Finanse 8.12.xlsx'!expenses_"&amp;$A$2&amp;"[Category]"),INDIRECT("'Finanse 8.12.xlsx'!expenses_"&amp;$A$2&amp;"[Total]"),0,0,1)</f>
        <v>#REF!</v>
      </c>
      <c r="I21" s="22" t="e">
        <f t="shared" ca="1" si="2"/>
        <v>#REF!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Savings_8[[#This Row],[Planned]]-Savings_8[[#This Row],[Actual]]</f>
        <v>0</v>
      </c>
    </row>
    <row r="22" spans="1:2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Savings_8[[#This Row],[Planned]]-Savings_8[[#This Row],[Actual]]</f>
        <v>0</v>
      </c>
    </row>
    <row r="23" spans="1:2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Savings_8[[#This Row],[Planned]]-Savings_8[[#This Row],[Actual]]</f>
        <v>0</v>
      </c>
    </row>
    <row r="24" spans="1:2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Savings_8[[#This Row],[Planned]]-Savings_8[[#This Row],[Actual]]</f>
        <v>0</v>
      </c>
    </row>
    <row r="25" spans="1:2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Savings_8[[#This Row],[Planned]]-Savings_8[[#This Row],[Actual]]</f>
        <v>0</v>
      </c>
    </row>
    <row r="26" spans="1:2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Savings_8[[#This Row],[Planned]]-Savings_8[[#This Row],[Actual]]</f>
        <v>0</v>
      </c>
    </row>
    <row r="27" spans="1:24" ht="22.5">
      <c r="A27" s="61" t="s">
        <v>45</v>
      </c>
      <c r="B27" s="62">
        <f>SUM(B13:B26)</f>
        <v>5700</v>
      </c>
      <c r="C27" s="62" t="e">
        <f ca="1">SUM(Income_8[Actual])</f>
        <v>#REF!</v>
      </c>
      <c r="D27" s="63" t="e">
        <f ca="1">SUBTOTAL(109,Income_8[Left])</f>
        <v>#REF!</v>
      </c>
      <c r="F27" s="58" t="s">
        <v>45</v>
      </c>
      <c r="G27" s="59">
        <f>SUM(G13:G26)</f>
        <v>3795</v>
      </c>
      <c r="H27" s="59" t="e">
        <f ca="1">SUM(H13:H26)</f>
        <v>#REF!</v>
      </c>
      <c r="I27" s="60" t="e">
        <f ca="1">SUBTOTAL(109,Expenses_8[Left])</f>
        <v>#REF!</v>
      </c>
      <c r="K27" s="64" t="s">
        <v>45</v>
      </c>
      <c r="L27" s="65"/>
      <c r="M27" s="66">
        <f>SUM(M13:M26)</f>
        <v>1735</v>
      </c>
      <c r="N27" s="67">
        <f>SUBTOTAL(103,Bills_8[Actual])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SUBTOTAL(103,Subscriptions_8[Actual])</f>
        <v>0</v>
      </c>
      <c r="U27" s="72" t="s">
        <v>45</v>
      </c>
      <c r="V27" s="73">
        <f>SUM(V13:V26)</f>
        <v>1905</v>
      </c>
      <c r="W27" s="74">
        <f>SUBTOTAL(109,Savings_8[Actual])</f>
        <v>0</v>
      </c>
      <c r="X27" s="10">
        <f>SUM(Savings_8[Left])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B55AC-0006-4FB8-AB7E-2F7AF5C019BA}">
  <sheetPr codeName="Sheet9"/>
  <dimension ref="A1:X27"/>
  <sheetViews>
    <sheetView zoomScale="115" zoomScaleNormal="115" workbookViewId="0">
      <selection activeCell="C3" sqref="C3"/>
    </sheetView>
  </sheetViews>
  <sheetFormatPr defaultColWidth="9.125" defaultRowHeight="21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>
      <c r="A1" s="79" t="s">
        <v>25</v>
      </c>
      <c r="B1" s="80"/>
      <c r="C1" s="80"/>
      <c r="D1" s="80"/>
      <c r="E1" s="12"/>
    </row>
    <row r="2" spans="1:24">
      <c r="A2" s="81" t="str" cm="1">
        <f t="array" aca="1" ref="A2" ca="1">RIGHT(CELL("filename",A1),LEN(CELL("filename",A1))-FIND("]",CELL("filename",A1)))</f>
        <v>9</v>
      </c>
      <c r="B2" s="82"/>
      <c r="C2" s="82"/>
      <c r="D2" s="82"/>
    </row>
    <row r="4" spans="1:24">
      <c r="B4" s="11" t="s">
        <v>6</v>
      </c>
      <c r="C4" s="11" t="s">
        <v>7</v>
      </c>
      <c r="D4" s="11" t="s">
        <v>26</v>
      </c>
      <c r="E4" s="13"/>
    </row>
    <row r="5" spans="1:24">
      <c r="A5" s="11" t="s">
        <v>46</v>
      </c>
      <c r="B5" s="9" cm="1">
        <f t="array" aca="1" ref="B5" ca="1">INDIRECT($A5&amp;"_1[[#Totals],["&amp;B$4&amp;"]]")</f>
        <v>5700</v>
      </c>
      <c r="C5" s="9" t="e" cm="1">
        <f t="array" aca="1" ref="C5" ca="1">INDIRECT($A5&amp;"_1[[#Totals],["&amp;C$4&amp;"]]")</f>
        <v>#REF!</v>
      </c>
      <c r="D5" s="9" t="e" cm="1">
        <f t="array" aca="1" ref="D5" ca="1">INDIRECT($A5&amp;"_1[[#Totals],["&amp;D$4&amp;"]]")</f>
        <v>#REF!</v>
      </c>
      <c r="E5" s="13"/>
    </row>
    <row r="6" spans="1:24">
      <c r="A6" s="11" t="s">
        <v>1</v>
      </c>
      <c r="B6" s="9" cm="1">
        <f t="array" aca="1" ref="B6" ca="1">INDIRECT($A6&amp;"_1[[#Totals],["&amp;B$4&amp;"]]")</f>
        <v>3795</v>
      </c>
      <c r="C6" s="9" t="e" cm="1">
        <f t="array" aca="1" ref="C6" ca="1">INDIRECT($A6&amp;"_1[[#Totals],["&amp;C$4&amp;"]]")</f>
        <v>#REF!</v>
      </c>
      <c r="D6" s="9" t="e" cm="1">
        <f t="array" aca="1" ref="D6" ca="1">INDIRECT($A6&amp;"_1[[#Totals],["&amp;D$4&amp;"]]")</f>
        <v>#REF!</v>
      </c>
      <c r="E6" s="13"/>
    </row>
    <row r="7" spans="1:2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>
      <c r="A9" s="11" t="s">
        <v>27</v>
      </c>
      <c r="B9" s="9">
        <f ca="1">B5-B6-B7</f>
        <v>0</v>
      </c>
      <c r="C9" s="9" t="e">
        <f t="shared" ref="C9" ca="1" si="0">C5-C6-C7</f>
        <v>#REF!</v>
      </c>
      <c r="D9" s="9" t="e">
        <f ca="1">D5+D6+D7</f>
        <v>#REF!</v>
      </c>
      <c r="E9" s="13"/>
    </row>
    <row r="11" spans="1:2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>
      <c r="A13" s="16" t="s">
        <v>12</v>
      </c>
      <c r="B13" s="7">
        <v>2500</v>
      </c>
      <c r="C13" s="7" t="e" cm="1">
        <f t="array" aca="1" ref="C13" ca="1">_xlfn.XLOOKUP(A13,INDIRECT("'Finanse 8.12.xlsx'!incomes_"&amp;$A$2&amp;"[Category]"),INDIRECT("'Finanse 8.12.xlsx'!incomes_"&amp;$A$2&amp;"[Total]"),0,0,1)</f>
        <v>#REF!</v>
      </c>
      <c r="D13" s="17" t="e">
        <f ca="1">C13-B13</f>
        <v>#REF!</v>
      </c>
      <c r="F13" s="21" t="s">
        <v>41</v>
      </c>
      <c r="G13" s="3">
        <v>1735</v>
      </c>
      <c r="H13" s="3" t="e" cm="1">
        <f t="array" aca="1" ref="H13" ca="1">-_xlfn.XLOOKUP(F13,INDIRECT("'Finanse 8.12.xlsx'!expenses_"&amp;$A$2&amp;"[Category]"),INDIRECT("'Finanse 8.12.xlsx'!expenses_"&amp;$A$2&amp;"[Total]"),0,0,1)</f>
        <v>#REF!</v>
      </c>
      <c r="I13" s="22" t="e">
        <f ca="1">G13-H13</f>
        <v>#REF!</v>
      </c>
      <c r="K13" s="29" t="s">
        <v>13</v>
      </c>
      <c r="L13" s="14">
        <f ca="1">DATE(2025,$A$2,10)</f>
        <v>45910</v>
      </c>
      <c r="M13" s="8">
        <v>1500</v>
      </c>
      <c r="N13" s="30"/>
      <c r="P13" s="38" t="s">
        <v>18</v>
      </c>
      <c r="Q13" s="15">
        <f ca="1">DATE(2025,$A$2,5)</f>
        <v>45905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Savings_9[[#This Row],[Planned]]-Savings_9[[#This Row],[Actual]]</f>
        <v>500</v>
      </c>
    </row>
    <row r="14" spans="1:24">
      <c r="A14" s="16" t="s">
        <v>28</v>
      </c>
      <c r="B14" s="7">
        <v>300</v>
      </c>
      <c r="C14" s="7" t="e" cm="1">
        <f t="array" aca="1" ref="C14" ca="1">_xlfn.XLOOKUP(A14,INDIRECT("'Finanse 8.12.xlsx'!incomes_"&amp;$A$2&amp;"[Category]"),INDIRECT("'Finanse 8.12.xlsx'!incomes_"&amp;$A$2&amp;"[Total]"),0,0,1)</f>
        <v>#REF!</v>
      </c>
      <c r="D14" s="17" t="e">
        <f t="shared" ref="D14:D18" ca="1" si="1">C14-B14</f>
        <v>#REF!</v>
      </c>
      <c r="F14" s="21" t="s">
        <v>31</v>
      </c>
      <c r="G14" s="3">
        <v>200</v>
      </c>
      <c r="H14" s="3" t="e" cm="1">
        <f t="array" aca="1" ref="H14" ca="1">-_xlfn.XLOOKUP(F14,INDIRECT("'Finanse 8.12.xlsx'!expenses_"&amp;$A$2&amp;"[Category]"),INDIRECT("'Finanse 8.12.xlsx'!expenses_"&amp;$A$2&amp;"[Total]"),0,0,1)</f>
        <v>#REF!</v>
      </c>
      <c r="I14" s="22" t="e">
        <f t="shared" ref="I14:I21" ca="1" si="2">G14-H14</f>
        <v>#REF!</v>
      </c>
      <c r="K14" s="29" t="s">
        <v>17</v>
      </c>
      <c r="L14" s="14">
        <f ca="1">DATE(2025,$A$2,15)</f>
        <v>45915</v>
      </c>
      <c r="M14" s="8">
        <v>80</v>
      </c>
      <c r="N14" s="30"/>
      <c r="P14" s="38" t="s">
        <v>14</v>
      </c>
      <c r="Q14" s="15">
        <f ca="1">DATE(2025,$A$2,24)</f>
        <v>45924</v>
      </c>
      <c r="R14" s="5">
        <v>33</v>
      </c>
      <c r="S14" s="39"/>
      <c r="U14" s="47" t="s">
        <v>39</v>
      </c>
      <c r="V14" s="9">
        <v>800</v>
      </c>
      <c r="W14" s="48"/>
      <c r="X14" s="9">
        <f>Savings_9[[#This Row],[Planned]]-Savings_9[[#This Row],[Actual]]</f>
        <v>800</v>
      </c>
    </row>
    <row r="15" spans="1:24">
      <c r="A15" s="16" t="s">
        <v>29</v>
      </c>
      <c r="B15" s="7">
        <v>500</v>
      </c>
      <c r="C15" s="7" t="e" cm="1">
        <f t="array" aca="1" ref="C15" ca="1">_xlfn.XLOOKUP(A15,INDIRECT("'Finanse 8.12.xlsx'!incomes_"&amp;$A$2&amp;"[Category]"),INDIRECT("'Finanse 8.12.xlsx'!incomes_"&amp;$A$2&amp;"[Total]"),0,0,1)</f>
        <v>#REF!</v>
      </c>
      <c r="D15" s="17" t="e">
        <f t="shared" ca="1" si="1"/>
        <v>#REF!</v>
      </c>
      <c r="F15" s="21" t="s">
        <v>23</v>
      </c>
      <c r="G15" s="3">
        <v>300</v>
      </c>
      <c r="H15" s="3" t="e" cm="1">
        <f t="array" aca="1" ref="H15" ca="1">-_xlfn.XLOOKUP(F15,INDIRECT("'Finanse 8.12.xlsx'!expenses_"&amp;$A$2&amp;"[Category]"),INDIRECT("'Finanse 8.12.xlsx'!expenses_"&amp;$A$2&amp;"[Total]"),0,0,1)</f>
        <v>#REF!</v>
      </c>
      <c r="I15" s="22" t="e">
        <f t="shared" ca="1" si="2"/>
        <v>#REF!</v>
      </c>
      <c r="K15" s="29" t="s">
        <v>20</v>
      </c>
      <c r="L15" s="14">
        <f t="shared" ref="L15:L16" ca="1" si="3">DATE(2025,$A$2,10)</f>
        <v>45910</v>
      </c>
      <c r="M15" s="8">
        <v>35</v>
      </c>
      <c r="N15" s="30"/>
      <c r="P15" s="38" t="s">
        <v>36</v>
      </c>
      <c r="Q15" s="15">
        <f ca="1">DATE(2025,$A$2,2)</f>
        <v>45902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Savings_9[[#This Row],[Planned]]-Savings_9[[#This Row],[Actual]]</f>
        <v>605</v>
      </c>
    </row>
    <row r="16" spans="1:24">
      <c r="A16" s="16" t="s">
        <v>40</v>
      </c>
      <c r="B16" s="7">
        <v>100</v>
      </c>
      <c r="C16" s="7" t="e" cm="1">
        <f t="array" aca="1" ref="C16" ca="1">_xlfn.XLOOKUP(A16,INDIRECT("'Finanse 8.12.xlsx'!incomes_"&amp;$A$2&amp;"[Category]"),INDIRECT("'Finanse 8.12.xlsx'!incomes_"&amp;$A$2&amp;"[Total]"),0,0,1)</f>
        <v>#REF!</v>
      </c>
      <c r="D16" s="17" t="e">
        <f t="shared" ca="1" si="1"/>
        <v>#REF!</v>
      </c>
      <c r="F16" s="21" t="s">
        <v>16</v>
      </c>
      <c r="G16" s="3">
        <v>750</v>
      </c>
      <c r="H16" s="3" t="e" cm="1">
        <f t="array" aca="1" ref="H16" ca="1">-_xlfn.XLOOKUP(F16,INDIRECT("'Finanse 8.12.xlsx'!expenses_"&amp;$A$2&amp;"[Category]"),INDIRECT("'Finanse 8.12.xlsx'!expenses_"&amp;$A$2&amp;"[Total]"),0,0,1)</f>
        <v>#REF!</v>
      </c>
      <c r="I16" s="22" t="e">
        <f t="shared" ca="1" si="2"/>
        <v>#REF!</v>
      </c>
      <c r="K16" s="29" t="s">
        <v>19</v>
      </c>
      <c r="L16" s="14">
        <f t="shared" ca="1" si="3"/>
        <v>45910</v>
      </c>
      <c r="M16" s="8">
        <v>25</v>
      </c>
      <c r="N16" s="30"/>
      <c r="P16" s="38" t="s">
        <v>21</v>
      </c>
      <c r="Q16" s="15">
        <f ca="1">DATE(2025,$A$2,21)</f>
        <v>45921</v>
      </c>
      <c r="R16" s="5">
        <v>100</v>
      </c>
      <c r="S16" s="39"/>
      <c r="U16" s="47"/>
      <c r="V16" s="9"/>
      <c r="W16" s="48"/>
      <c r="X16" s="9">
        <f>Savings_9[[#This Row],[Planned]]-Savings_9[[#This Row],[Actual]]</f>
        <v>0</v>
      </c>
    </row>
    <row r="17" spans="1:24">
      <c r="A17" s="16" t="s">
        <v>30</v>
      </c>
      <c r="B17" s="7">
        <v>1500</v>
      </c>
      <c r="C17" s="7" t="e" cm="1">
        <f t="array" aca="1" ref="C17" ca="1">_xlfn.XLOOKUP(A17,INDIRECT("'Finanse 8.12.xlsx'!incomes_"&amp;$A$2&amp;"[Category]"),INDIRECT("'Finanse 8.12.xlsx'!incomes_"&amp;$A$2&amp;"[Total]"),0,0,1)</f>
        <v>#REF!</v>
      </c>
      <c r="D17" s="17" t="e">
        <f t="shared" ca="1" si="1"/>
        <v>#REF!</v>
      </c>
      <c r="F17" s="21" t="s">
        <v>32</v>
      </c>
      <c r="G17" s="3">
        <v>130</v>
      </c>
      <c r="H17" s="3" t="e" cm="1">
        <f t="array" aca="1" ref="H17" ca="1">-_xlfn.XLOOKUP(F17,INDIRECT("'Finanse 8.12.xlsx'!expenses_"&amp;$A$2&amp;"[Category]"),INDIRECT("'Finanse 8.12.xlsx'!expenses_"&amp;$A$2&amp;"[Total]"),0,0,1)</f>
        <v>#REF!</v>
      </c>
      <c r="I17" s="22" t="e">
        <f t="shared" ca="1" si="2"/>
        <v>#REF!</v>
      </c>
      <c r="K17" s="29" t="s">
        <v>22</v>
      </c>
      <c r="L17" s="14">
        <f ca="1">DATE(2025,$A$2,28)</f>
        <v>45928</v>
      </c>
      <c r="M17" s="8">
        <v>35</v>
      </c>
      <c r="N17" s="30"/>
      <c r="P17" s="38" t="s">
        <v>37</v>
      </c>
      <c r="Q17" s="15">
        <f ca="1">DATE(2025,$A$2,12)</f>
        <v>45912</v>
      </c>
      <c r="R17" s="5">
        <v>42.69</v>
      </c>
      <c r="S17" s="39"/>
      <c r="U17" s="47"/>
      <c r="V17" s="9"/>
      <c r="W17" s="48"/>
      <c r="X17" s="9">
        <f>Savings_9[[#This Row],[Planned]]-Savings_9[[#This Row],[Actual]]</f>
        <v>0</v>
      </c>
    </row>
    <row r="18" spans="1:24">
      <c r="A18" s="16" t="s">
        <v>15</v>
      </c>
      <c r="B18" s="7">
        <v>800</v>
      </c>
      <c r="C18" s="7" t="e" cm="1">
        <f t="array" aca="1" ref="C18" ca="1">_xlfn.XLOOKUP(A18,INDIRECT("'Finanse 8.12.xlsx'!incomes_"&amp;$A$2&amp;"[Category]"),INDIRECT("'Finanse 8.12.xlsx'!incomes_"&amp;$A$2&amp;"[Total]"),0,0,1)</f>
        <v>#REF!</v>
      </c>
      <c r="D18" s="17" t="e">
        <f t="shared" ca="1" si="1"/>
        <v>#REF!</v>
      </c>
      <c r="F18" s="21" t="s">
        <v>33</v>
      </c>
      <c r="G18" s="3">
        <v>130</v>
      </c>
      <c r="H18" s="3" t="e" cm="1">
        <f t="array" aca="1" ref="H18" ca="1">-_xlfn.XLOOKUP(F18,INDIRECT("'Finanse 8.12.xlsx'!expenses_"&amp;$A$2&amp;"[Category]"),INDIRECT("'Finanse 8.12.xlsx'!expenses_"&amp;$A$2&amp;"[Total]"),0,0,1)</f>
        <v>#REF!</v>
      </c>
      <c r="I18" s="22" t="e">
        <f t="shared" ca="1" si="2"/>
        <v>#REF!</v>
      </c>
      <c r="K18" s="29" t="s">
        <v>24</v>
      </c>
      <c r="L18" s="14">
        <f ca="1">DATE(2025,$A$2,20)</f>
        <v>45920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Savings_9[[#This Row],[Planned]]-Savings_9[[#This Row],[Actual]]</f>
        <v>0</v>
      </c>
    </row>
    <row r="19" spans="1:24">
      <c r="A19" s="16"/>
      <c r="B19" s="7"/>
      <c r="C19" s="7"/>
      <c r="D19" s="17"/>
      <c r="E19" s="6"/>
      <c r="F19" s="21" t="s">
        <v>42</v>
      </c>
      <c r="G19" s="3">
        <v>200</v>
      </c>
      <c r="H19" s="3" t="e" cm="1">
        <f t="array" aca="1" ref="H19" ca="1">-_xlfn.XLOOKUP(F19,INDIRECT("'Finanse 8.12.xlsx'!expenses_"&amp;$A$2&amp;"[Category]"),INDIRECT("'Finanse 8.12.xlsx'!expenses_"&amp;$A$2&amp;"[Total]"),0,0,1)</f>
        <v>#REF!</v>
      </c>
      <c r="I19" s="22" t="e">
        <f t="shared" ca="1" si="2"/>
        <v>#REF!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Savings_9[[#This Row],[Planned]]-Savings_9[[#This Row],[Actual]]</f>
        <v>0</v>
      </c>
    </row>
    <row r="20" spans="1:24">
      <c r="A20" s="16"/>
      <c r="B20" s="7"/>
      <c r="C20" s="7"/>
      <c r="D20" s="17"/>
      <c r="F20" s="21" t="s">
        <v>34</v>
      </c>
      <c r="G20" s="3">
        <v>200</v>
      </c>
      <c r="H20" s="3" t="e" cm="1">
        <f t="array" aca="1" ref="H20" ca="1">-_xlfn.XLOOKUP(F20,INDIRECT("'Finanse 8.12.xlsx'!expenses_"&amp;$A$2&amp;"[Category]"),INDIRECT("'Finanse 8.12.xlsx'!expenses_"&amp;$A$2&amp;"[Total]"),0,0,1)</f>
        <v>#REF!</v>
      </c>
      <c r="I20" s="22" t="e">
        <f t="shared" ca="1" si="2"/>
        <v>#REF!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Savings_9[[#This Row],[Planned]]-Savings_9[[#This Row],[Actual]]</f>
        <v>0</v>
      </c>
    </row>
    <row r="21" spans="1:24">
      <c r="A21" s="16"/>
      <c r="B21" s="7"/>
      <c r="C21" s="7"/>
      <c r="D21" s="17"/>
      <c r="F21" s="21" t="s">
        <v>35</v>
      </c>
      <c r="G21" s="3">
        <v>150</v>
      </c>
      <c r="H21" s="3" t="e" cm="1">
        <f t="array" aca="1" ref="H21" ca="1">-_xlfn.XLOOKUP(F21,INDIRECT("'Finanse 8.12.xlsx'!expenses_"&amp;$A$2&amp;"[Category]"),INDIRECT("'Finanse 8.12.xlsx'!expenses_"&amp;$A$2&amp;"[Total]"),0,0,1)</f>
        <v>#REF!</v>
      </c>
      <c r="I21" s="22" t="e">
        <f t="shared" ca="1" si="2"/>
        <v>#REF!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Savings_9[[#This Row],[Planned]]-Savings_9[[#This Row],[Actual]]</f>
        <v>0</v>
      </c>
    </row>
    <row r="22" spans="1:2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Savings_9[[#This Row],[Planned]]-Savings_9[[#This Row],[Actual]]</f>
        <v>0</v>
      </c>
    </row>
    <row r="23" spans="1:2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Savings_9[[#This Row],[Planned]]-Savings_9[[#This Row],[Actual]]</f>
        <v>0</v>
      </c>
    </row>
    <row r="24" spans="1:2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Savings_9[[#This Row],[Planned]]-Savings_9[[#This Row],[Actual]]</f>
        <v>0</v>
      </c>
    </row>
    <row r="25" spans="1:2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Savings_9[[#This Row],[Planned]]-Savings_9[[#This Row],[Actual]]</f>
        <v>0</v>
      </c>
    </row>
    <row r="26" spans="1:2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Savings_9[[#This Row],[Planned]]-Savings_9[[#This Row],[Actual]]</f>
        <v>0</v>
      </c>
    </row>
    <row r="27" spans="1:24" ht="22.5">
      <c r="A27" s="61" t="s">
        <v>45</v>
      </c>
      <c r="B27" s="62">
        <f>SUM(B13:B26)</f>
        <v>5700</v>
      </c>
      <c r="C27" s="62" t="e">
        <f ca="1">SUM(Income_9[Actual])</f>
        <v>#REF!</v>
      </c>
      <c r="D27" s="63" t="e">
        <f ca="1">SUBTOTAL(109,Income_9[Left])</f>
        <v>#REF!</v>
      </c>
      <c r="F27" s="58" t="s">
        <v>45</v>
      </c>
      <c r="G27" s="59">
        <f>SUM(G13:G26)</f>
        <v>3795</v>
      </c>
      <c r="H27" s="59" t="e">
        <f ca="1">SUM(H13:H26)</f>
        <v>#REF!</v>
      </c>
      <c r="I27" s="60" t="e">
        <f ca="1">SUBTOTAL(109,Expenses_9[Left])</f>
        <v>#REF!</v>
      </c>
      <c r="K27" s="64" t="s">
        <v>45</v>
      </c>
      <c r="L27" s="65"/>
      <c r="M27" s="66">
        <f>SUM(M13:M26)</f>
        <v>1735</v>
      </c>
      <c r="N27" s="67">
        <f>SUBTOTAL(103,Bills_9[Actual])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SUBTOTAL(103,Subscriptions_9[Actual])</f>
        <v>0</v>
      </c>
      <c r="U27" s="72" t="s">
        <v>45</v>
      </c>
      <c r="V27" s="73">
        <f>SUM(V13:V26)</f>
        <v>1905</v>
      </c>
      <c r="W27" s="74">
        <f>SUBTOTAL(109,Savings_9[Actual])</f>
        <v>0</v>
      </c>
      <c r="X27" s="10">
        <f>SUM(Savings_9[Left])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4DFBD-8DA0-408F-BB25-62B7C31510BC}">
  <sheetPr codeName="Sheet10"/>
  <dimension ref="A1:X27"/>
  <sheetViews>
    <sheetView zoomScale="115" zoomScaleNormal="115" workbookViewId="0">
      <selection activeCell="C3" sqref="C3"/>
    </sheetView>
  </sheetViews>
  <sheetFormatPr defaultColWidth="9.125" defaultRowHeight="21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>
      <c r="A1" s="79" t="s">
        <v>25</v>
      </c>
      <c r="B1" s="80"/>
      <c r="C1" s="80"/>
      <c r="D1" s="80"/>
      <c r="E1" s="12"/>
    </row>
    <row r="2" spans="1:24">
      <c r="A2" s="81" t="str" cm="1">
        <f t="array" aca="1" ref="A2" ca="1">RIGHT(CELL("filename",A1),LEN(CELL("filename",A1))-FIND("]",CELL("filename",A1)))</f>
        <v>10</v>
      </c>
      <c r="B2" s="82"/>
      <c r="C2" s="82"/>
      <c r="D2" s="82"/>
    </row>
    <row r="4" spans="1:24">
      <c r="B4" s="11" t="s">
        <v>6</v>
      </c>
      <c r="C4" s="11" t="s">
        <v>7</v>
      </c>
      <c r="D4" s="11" t="s">
        <v>26</v>
      </c>
      <c r="E4" s="13"/>
    </row>
    <row r="5" spans="1:24">
      <c r="A5" s="11" t="s">
        <v>46</v>
      </c>
      <c r="B5" s="9" cm="1">
        <f t="array" aca="1" ref="B5" ca="1">INDIRECT($A5&amp;"_1[[#Totals],["&amp;B$4&amp;"]]")</f>
        <v>5700</v>
      </c>
      <c r="C5" s="9" t="e" cm="1">
        <f t="array" aca="1" ref="C5" ca="1">INDIRECT($A5&amp;"_1[[#Totals],["&amp;C$4&amp;"]]")</f>
        <v>#REF!</v>
      </c>
      <c r="D5" s="9" t="e" cm="1">
        <f t="array" aca="1" ref="D5" ca="1">INDIRECT($A5&amp;"_1[[#Totals],["&amp;D$4&amp;"]]")</f>
        <v>#REF!</v>
      </c>
      <c r="E5" s="13"/>
    </row>
    <row r="6" spans="1:24">
      <c r="A6" s="11" t="s">
        <v>1</v>
      </c>
      <c r="B6" s="9" cm="1">
        <f t="array" aca="1" ref="B6" ca="1">INDIRECT($A6&amp;"_1[[#Totals],["&amp;B$4&amp;"]]")</f>
        <v>3795</v>
      </c>
      <c r="C6" s="9" t="e" cm="1">
        <f t="array" aca="1" ref="C6" ca="1">INDIRECT($A6&amp;"_1[[#Totals],["&amp;C$4&amp;"]]")</f>
        <v>#REF!</v>
      </c>
      <c r="D6" s="9" t="e" cm="1">
        <f t="array" aca="1" ref="D6" ca="1">INDIRECT($A6&amp;"_1[[#Totals],["&amp;D$4&amp;"]]")</f>
        <v>#REF!</v>
      </c>
      <c r="E6" s="13"/>
    </row>
    <row r="7" spans="1:2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>
      <c r="A9" s="11" t="s">
        <v>27</v>
      </c>
      <c r="B9" s="9">
        <f ca="1">B5-B6-B7</f>
        <v>0</v>
      </c>
      <c r="C9" s="9" t="e">
        <f t="shared" ref="C9" ca="1" si="0">C5-C6-C7</f>
        <v>#REF!</v>
      </c>
      <c r="D9" s="9" t="e">
        <f ca="1">D5+D6+D7</f>
        <v>#REF!</v>
      </c>
      <c r="E9" s="13"/>
    </row>
    <row r="11" spans="1:2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>
      <c r="A13" s="16" t="s">
        <v>12</v>
      </c>
      <c r="B13" s="7">
        <v>2500</v>
      </c>
      <c r="C13" s="7" t="e" cm="1">
        <f t="array" aca="1" ref="C13" ca="1">_xlfn.XLOOKUP(A13,INDIRECT("'Finanse 8.12.xlsx'!incomes_"&amp;$A$2&amp;"[Category]"),INDIRECT("'Finanse 8.12.xlsx'!incomes_"&amp;$A$2&amp;"[Total]"),0,0,1)</f>
        <v>#REF!</v>
      </c>
      <c r="D13" s="17" t="e">
        <f ca="1">C13-B13</f>
        <v>#REF!</v>
      </c>
      <c r="F13" s="21" t="s">
        <v>41</v>
      </c>
      <c r="G13" s="3">
        <v>1735</v>
      </c>
      <c r="H13" s="3" t="e" cm="1">
        <f t="array" aca="1" ref="H13" ca="1">-_xlfn.XLOOKUP(F13,INDIRECT("'Finanse 8.12.xlsx'!expenses_"&amp;$A$2&amp;"[Category]"),INDIRECT("'Finanse 8.12.xlsx'!expenses_"&amp;$A$2&amp;"[Total]"),0,0,1)</f>
        <v>#REF!</v>
      </c>
      <c r="I13" s="22" t="e">
        <f ca="1">G13-H13</f>
        <v>#REF!</v>
      </c>
      <c r="K13" s="29" t="s">
        <v>13</v>
      </c>
      <c r="L13" s="14">
        <f ca="1">DATE(2025,$A$2,10)</f>
        <v>45940</v>
      </c>
      <c r="M13" s="8">
        <v>1500</v>
      </c>
      <c r="N13" s="30"/>
      <c r="P13" s="38" t="s">
        <v>18</v>
      </c>
      <c r="Q13" s="15">
        <f ca="1">DATE(2025,$A$2,5)</f>
        <v>45935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Savings_10[[#This Row],[Planned]]-Savings_10[[#This Row],[Actual]]</f>
        <v>500</v>
      </c>
    </row>
    <row r="14" spans="1:24">
      <c r="A14" s="16" t="s">
        <v>28</v>
      </c>
      <c r="B14" s="7">
        <v>300</v>
      </c>
      <c r="C14" s="7" t="e" cm="1">
        <f t="array" aca="1" ref="C14" ca="1">_xlfn.XLOOKUP(A14,INDIRECT("'Finanse 8.12.xlsx'!incomes_"&amp;$A$2&amp;"[Category]"),INDIRECT("'Finanse 8.12.xlsx'!incomes_"&amp;$A$2&amp;"[Total]"),0,0,1)</f>
        <v>#REF!</v>
      </c>
      <c r="D14" s="17" t="e">
        <f t="shared" ref="D14:D18" ca="1" si="1">C14-B14</f>
        <v>#REF!</v>
      </c>
      <c r="F14" s="21" t="s">
        <v>31</v>
      </c>
      <c r="G14" s="3">
        <v>200</v>
      </c>
      <c r="H14" s="3" t="e" cm="1">
        <f t="array" aca="1" ref="H14" ca="1">-_xlfn.XLOOKUP(F14,INDIRECT("'Finanse 8.12.xlsx'!expenses_"&amp;$A$2&amp;"[Category]"),INDIRECT("'Finanse 8.12.xlsx'!expenses_"&amp;$A$2&amp;"[Total]"),0,0,1)</f>
        <v>#REF!</v>
      </c>
      <c r="I14" s="22" t="e">
        <f t="shared" ref="I14:I21" ca="1" si="2">G14-H14</f>
        <v>#REF!</v>
      </c>
      <c r="K14" s="29" t="s">
        <v>17</v>
      </c>
      <c r="L14" s="14">
        <f ca="1">DATE(2025,$A$2,15)</f>
        <v>45945</v>
      </c>
      <c r="M14" s="8">
        <v>80</v>
      </c>
      <c r="N14" s="30"/>
      <c r="P14" s="38" t="s">
        <v>14</v>
      </c>
      <c r="Q14" s="15">
        <f ca="1">DATE(2025,$A$2,24)</f>
        <v>45954</v>
      </c>
      <c r="R14" s="5">
        <v>33</v>
      </c>
      <c r="S14" s="39"/>
      <c r="U14" s="47" t="s">
        <v>39</v>
      </c>
      <c r="V14" s="9">
        <v>800</v>
      </c>
      <c r="W14" s="48"/>
      <c r="X14" s="9">
        <f>Savings_10[[#This Row],[Planned]]-Savings_10[[#This Row],[Actual]]</f>
        <v>800</v>
      </c>
    </row>
    <row r="15" spans="1:24">
      <c r="A15" s="16" t="s">
        <v>29</v>
      </c>
      <c r="B15" s="7">
        <v>500</v>
      </c>
      <c r="C15" s="7" t="e" cm="1">
        <f t="array" aca="1" ref="C15" ca="1">_xlfn.XLOOKUP(A15,INDIRECT("'Finanse 8.12.xlsx'!incomes_"&amp;$A$2&amp;"[Category]"),INDIRECT("'Finanse 8.12.xlsx'!incomes_"&amp;$A$2&amp;"[Total]"),0,0,1)</f>
        <v>#REF!</v>
      </c>
      <c r="D15" s="17" t="e">
        <f t="shared" ca="1" si="1"/>
        <v>#REF!</v>
      </c>
      <c r="F15" s="21" t="s">
        <v>23</v>
      </c>
      <c r="G15" s="3">
        <v>300</v>
      </c>
      <c r="H15" s="3" t="e" cm="1">
        <f t="array" aca="1" ref="H15" ca="1">-_xlfn.XLOOKUP(F15,INDIRECT("'Finanse 8.12.xlsx'!expenses_"&amp;$A$2&amp;"[Category]"),INDIRECT("'Finanse 8.12.xlsx'!expenses_"&amp;$A$2&amp;"[Total]"),0,0,1)</f>
        <v>#REF!</v>
      </c>
      <c r="I15" s="22" t="e">
        <f t="shared" ca="1" si="2"/>
        <v>#REF!</v>
      </c>
      <c r="K15" s="29" t="s">
        <v>20</v>
      </c>
      <c r="L15" s="14">
        <f t="shared" ref="L15:L16" ca="1" si="3">DATE(2025,$A$2,10)</f>
        <v>45940</v>
      </c>
      <c r="M15" s="8">
        <v>35</v>
      </c>
      <c r="N15" s="30"/>
      <c r="P15" s="38" t="s">
        <v>36</v>
      </c>
      <c r="Q15" s="15">
        <f ca="1">DATE(2025,$A$2,2)</f>
        <v>45932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Savings_10[[#This Row],[Planned]]-Savings_10[[#This Row],[Actual]]</f>
        <v>605</v>
      </c>
    </row>
    <row r="16" spans="1:24">
      <c r="A16" s="16" t="s">
        <v>40</v>
      </c>
      <c r="B16" s="7">
        <v>100</v>
      </c>
      <c r="C16" s="7" t="e" cm="1">
        <f t="array" aca="1" ref="C16" ca="1">_xlfn.XLOOKUP(A16,INDIRECT("'Finanse 8.12.xlsx'!incomes_"&amp;$A$2&amp;"[Category]"),INDIRECT("'Finanse 8.12.xlsx'!incomes_"&amp;$A$2&amp;"[Total]"),0,0,1)</f>
        <v>#REF!</v>
      </c>
      <c r="D16" s="17" t="e">
        <f t="shared" ca="1" si="1"/>
        <v>#REF!</v>
      </c>
      <c r="F16" s="21" t="s">
        <v>16</v>
      </c>
      <c r="G16" s="3">
        <v>750</v>
      </c>
      <c r="H16" s="3" t="e" cm="1">
        <f t="array" aca="1" ref="H16" ca="1">-_xlfn.XLOOKUP(F16,INDIRECT("'Finanse 8.12.xlsx'!expenses_"&amp;$A$2&amp;"[Category]"),INDIRECT("'Finanse 8.12.xlsx'!expenses_"&amp;$A$2&amp;"[Total]"),0,0,1)</f>
        <v>#REF!</v>
      </c>
      <c r="I16" s="22" t="e">
        <f t="shared" ca="1" si="2"/>
        <v>#REF!</v>
      </c>
      <c r="K16" s="29" t="s">
        <v>19</v>
      </c>
      <c r="L16" s="14">
        <f t="shared" ca="1" si="3"/>
        <v>45940</v>
      </c>
      <c r="M16" s="8">
        <v>25</v>
      </c>
      <c r="N16" s="30"/>
      <c r="P16" s="38" t="s">
        <v>21</v>
      </c>
      <c r="Q16" s="15">
        <f ca="1">DATE(2025,$A$2,21)</f>
        <v>45951</v>
      </c>
      <c r="R16" s="5">
        <v>100</v>
      </c>
      <c r="S16" s="39"/>
      <c r="U16" s="47"/>
      <c r="V16" s="9"/>
      <c r="W16" s="48"/>
      <c r="X16" s="9">
        <f>Savings_10[[#This Row],[Planned]]-Savings_10[[#This Row],[Actual]]</f>
        <v>0</v>
      </c>
    </row>
    <row r="17" spans="1:24">
      <c r="A17" s="16" t="s">
        <v>30</v>
      </c>
      <c r="B17" s="7">
        <v>1500</v>
      </c>
      <c r="C17" s="7" t="e" cm="1">
        <f t="array" aca="1" ref="C17" ca="1">_xlfn.XLOOKUP(A17,INDIRECT("'Finanse 8.12.xlsx'!incomes_"&amp;$A$2&amp;"[Category]"),INDIRECT("'Finanse 8.12.xlsx'!incomes_"&amp;$A$2&amp;"[Total]"),0,0,1)</f>
        <v>#REF!</v>
      </c>
      <c r="D17" s="17" t="e">
        <f t="shared" ca="1" si="1"/>
        <v>#REF!</v>
      </c>
      <c r="F17" s="21" t="s">
        <v>32</v>
      </c>
      <c r="G17" s="3">
        <v>130</v>
      </c>
      <c r="H17" s="3" t="e" cm="1">
        <f t="array" aca="1" ref="H17" ca="1">-_xlfn.XLOOKUP(F17,INDIRECT("'Finanse 8.12.xlsx'!expenses_"&amp;$A$2&amp;"[Category]"),INDIRECT("'Finanse 8.12.xlsx'!expenses_"&amp;$A$2&amp;"[Total]"),0,0,1)</f>
        <v>#REF!</v>
      </c>
      <c r="I17" s="22" t="e">
        <f t="shared" ca="1" si="2"/>
        <v>#REF!</v>
      </c>
      <c r="K17" s="29" t="s">
        <v>22</v>
      </c>
      <c r="L17" s="14">
        <f ca="1">DATE(2025,$A$2,28)</f>
        <v>45958</v>
      </c>
      <c r="M17" s="8">
        <v>35</v>
      </c>
      <c r="N17" s="30"/>
      <c r="P17" s="38" t="s">
        <v>37</v>
      </c>
      <c r="Q17" s="15">
        <f ca="1">DATE(2025,$A$2,12)</f>
        <v>45942</v>
      </c>
      <c r="R17" s="5">
        <v>42.69</v>
      </c>
      <c r="S17" s="39"/>
      <c r="U17" s="47"/>
      <c r="V17" s="9"/>
      <c r="W17" s="48"/>
      <c r="X17" s="9">
        <f>Savings_10[[#This Row],[Planned]]-Savings_10[[#This Row],[Actual]]</f>
        <v>0</v>
      </c>
    </row>
    <row r="18" spans="1:24">
      <c r="A18" s="16" t="s">
        <v>15</v>
      </c>
      <c r="B18" s="7">
        <v>800</v>
      </c>
      <c r="C18" s="7" t="e" cm="1">
        <f t="array" aca="1" ref="C18" ca="1">_xlfn.XLOOKUP(A18,INDIRECT("'Finanse 8.12.xlsx'!incomes_"&amp;$A$2&amp;"[Category]"),INDIRECT("'Finanse 8.12.xlsx'!incomes_"&amp;$A$2&amp;"[Total]"),0,0,1)</f>
        <v>#REF!</v>
      </c>
      <c r="D18" s="17" t="e">
        <f t="shared" ca="1" si="1"/>
        <v>#REF!</v>
      </c>
      <c r="F18" s="21" t="s">
        <v>33</v>
      </c>
      <c r="G18" s="3">
        <v>130</v>
      </c>
      <c r="H18" s="3" t="e" cm="1">
        <f t="array" aca="1" ref="H18" ca="1">-_xlfn.XLOOKUP(F18,INDIRECT("'Finanse 8.12.xlsx'!expenses_"&amp;$A$2&amp;"[Category]"),INDIRECT("'Finanse 8.12.xlsx'!expenses_"&amp;$A$2&amp;"[Total]"),0,0,1)</f>
        <v>#REF!</v>
      </c>
      <c r="I18" s="22" t="e">
        <f t="shared" ca="1" si="2"/>
        <v>#REF!</v>
      </c>
      <c r="K18" s="29" t="s">
        <v>24</v>
      </c>
      <c r="L18" s="14">
        <f ca="1">DATE(2025,$A$2,20)</f>
        <v>45950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Savings_10[[#This Row],[Planned]]-Savings_10[[#This Row],[Actual]]</f>
        <v>0</v>
      </c>
    </row>
    <row r="19" spans="1:24">
      <c r="A19" s="16"/>
      <c r="B19" s="7"/>
      <c r="C19" s="7"/>
      <c r="D19" s="17"/>
      <c r="E19" s="6"/>
      <c r="F19" s="21" t="s">
        <v>42</v>
      </c>
      <c r="G19" s="3">
        <v>200</v>
      </c>
      <c r="H19" s="3" t="e" cm="1">
        <f t="array" aca="1" ref="H19" ca="1">-_xlfn.XLOOKUP(F19,INDIRECT("'Finanse 8.12.xlsx'!expenses_"&amp;$A$2&amp;"[Category]"),INDIRECT("'Finanse 8.12.xlsx'!expenses_"&amp;$A$2&amp;"[Total]"),0,0,1)</f>
        <v>#REF!</v>
      </c>
      <c r="I19" s="22" t="e">
        <f t="shared" ca="1" si="2"/>
        <v>#REF!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Savings_10[[#This Row],[Planned]]-Savings_10[[#This Row],[Actual]]</f>
        <v>0</v>
      </c>
    </row>
    <row r="20" spans="1:24">
      <c r="A20" s="16"/>
      <c r="B20" s="7"/>
      <c r="C20" s="7"/>
      <c r="D20" s="17"/>
      <c r="F20" s="21" t="s">
        <v>34</v>
      </c>
      <c r="G20" s="3">
        <v>200</v>
      </c>
      <c r="H20" s="3" t="e" cm="1">
        <f t="array" aca="1" ref="H20" ca="1">-_xlfn.XLOOKUP(F20,INDIRECT("'Finanse 8.12.xlsx'!expenses_"&amp;$A$2&amp;"[Category]"),INDIRECT("'Finanse 8.12.xlsx'!expenses_"&amp;$A$2&amp;"[Total]"),0,0,1)</f>
        <v>#REF!</v>
      </c>
      <c r="I20" s="22" t="e">
        <f t="shared" ca="1" si="2"/>
        <v>#REF!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Savings_10[[#This Row],[Planned]]-Savings_10[[#This Row],[Actual]]</f>
        <v>0</v>
      </c>
    </row>
    <row r="21" spans="1:24">
      <c r="A21" s="16"/>
      <c r="B21" s="7"/>
      <c r="C21" s="7"/>
      <c r="D21" s="17"/>
      <c r="F21" s="21" t="s">
        <v>35</v>
      </c>
      <c r="G21" s="3">
        <v>150</v>
      </c>
      <c r="H21" s="3" t="e" cm="1">
        <f t="array" aca="1" ref="H21" ca="1">-_xlfn.XLOOKUP(F21,INDIRECT("'Finanse 8.12.xlsx'!expenses_"&amp;$A$2&amp;"[Category]"),INDIRECT("'Finanse 8.12.xlsx'!expenses_"&amp;$A$2&amp;"[Total]"),0,0,1)</f>
        <v>#REF!</v>
      </c>
      <c r="I21" s="22" t="e">
        <f t="shared" ca="1" si="2"/>
        <v>#REF!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Savings_10[[#This Row],[Planned]]-Savings_10[[#This Row],[Actual]]</f>
        <v>0</v>
      </c>
    </row>
    <row r="22" spans="1:2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Savings_10[[#This Row],[Planned]]-Savings_10[[#This Row],[Actual]]</f>
        <v>0</v>
      </c>
    </row>
    <row r="23" spans="1:2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Savings_10[[#This Row],[Planned]]-Savings_10[[#This Row],[Actual]]</f>
        <v>0</v>
      </c>
    </row>
    <row r="24" spans="1:2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Savings_10[[#This Row],[Planned]]-Savings_10[[#This Row],[Actual]]</f>
        <v>0</v>
      </c>
    </row>
    <row r="25" spans="1:2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Savings_10[[#This Row],[Planned]]-Savings_10[[#This Row],[Actual]]</f>
        <v>0</v>
      </c>
    </row>
    <row r="26" spans="1:2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Savings_10[[#This Row],[Planned]]-Savings_10[[#This Row],[Actual]]</f>
        <v>0</v>
      </c>
    </row>
    <row r="27" spans="1:24" ht="22.5">
      <c r="A27" s="61" t="s">
        <v>45</v>
      </c>
      <c r="B27" s="62">
        <f>SUM(B13:B26)</f>
        <v>5700</v>
      </c>
      <c r="C27" s="62" t="e">
        <f ca="1">SUM(Income_10[Actual])</f>
        <v>#REF!</v>
      </c>
      <c r="D27" s="63" t="e">
        <f ca="1">SUBTOTAL(109,Income_10[Left])</f>
        <v>#REF!</v>
      </c>
      <c r="F27" s="58" t="s">
        <v>45</v>
      </c>
      <c r="G27" s="59">
        <f>SUM(G13:G26)</f>
        <v>3795</v>
      </c>
      <c r="H27" s="59" t="e">
        <f ca="1">SUM(H13:H26)</f>
        <v>#REF!</v>
      </c>
      <c r="I27" s="60" t="e">
        <f ca="1">SUBTOTAL(109,Expenses_10[Left])</f>
        <v>#REF!</v>
      </c>
      <c r="K27" s="64" t="s">
        <v>45</v>
      </c>
      <c r="L27" s="65"/>
      <c r="M27" s="66">
        <f>SUM(M13:M26)</f>
        <v>1735</v>
      </c>
      <c r="N27" s="67">
        <f>SUBTOTAL(103,Bills_10[Actual])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SUBTOTAL(103,Subscriptions_10[Actual])</f>
        <v>0</v>
      </c>
      <c r="U27" s="72" t="s">
        <v>45</v>
      </c>
      <c r="V27" s="73">
        <f>SUM(V13:V26)</f>
        <v>1905</v>
      </c>
      <c r="W27" s="74">
        <f>SUBTOTAL(109,Savings_10[Actual])</f>
        <v>0</v>
      </c>
      <c r="X27" s="10">
        <f>SUM(Savings_10[Left])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5EE74-11C1-4970-9344-8EBE0F2A7106}">
  <sheetPr codeName="Sheet11"/>
  <dimension ref="A1:X27"/>
  <sheetViews>
    <sheetView topLeftCell="A12" zoomScale="115" zoomScaleNormal="115" workbookViewId="0">
      <selection activeCell="C3" sqref="C3"/>
    </sheetView>
  </sheetViews>
  <sheetFormatPr defaultColWidth="9.125" defaultRowHeight="21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>
      <c r="A1" s="79" t="s">
        <v>25</v>
      </c>
      <c r="B1" s="80"/>
      <c r="C1" s="80"/>
      <c r="D1" s="80"/>
      <c r="E1" s="12"/>
    </row>
    <row r="2" spans="1:24">
      <c r="A2" s="81" t="str" cm="1">
        <f t="array" aca="1" ref="A2" ca="1">RIGHT(CELL("filename",A1),LEN(CELL("filename",A1))-FIND("]",CELL("filename",A1)))</f>
        <v>11</v>
      </c>
      <c r="B2" s="82"/>
      <c r="C2" s="82"/>
      <c r="D2" s="82"/>
    </row>
    <row r="4" spans="1:24">
      <c r="B4" s="11" t="s">
        <v>6</v>
      </c>
      <c r="C4" s="11" t="s">
        <v>7</v>
      </c>
      <c r="D4" s="11" t="s">
        <v>26</v>
      </c>
      <c r="E4" s="13"/>
    </row>
    <row r="5" spans="1:24">
      <c r="A5" s="11" t="s">
        <v>46</v>
      </c>
      <c r="B5" s="9" cm="1">
        <f t="array" aca="1" ref="B5" ca="1">INDIRECT($A5&amp;"_1[[#Totals],["&amp;B$4&amp;"]]")</f>
        <v>5700</v>
      </c>
      <c r="C5" s="9" t="e" cm="1">
        <f t="array" aca="1" ref="C5" ca="1">INDIRECT($A5&amp;"_1[[#Totals],["&amp;C$4&amp;"]]")</f>
        <v>#REF!</v>
      </c>
      <c r="D5" s="9" t="e" cm="1">
        <f t="array" aca="1" ref="D5" ca="1">INDIRECT($A5&amp;"_1[[#Totals],["&amp;D$4&amp;"]]")</f>
        <v>#REF!</v>
      </c>
      <c r="E5" s="13"/>
    </row>
    <row r="6" spans="1:24">
      <c r="A6" s="11" t="s">
        <v>1</v>
      </c>
      <c r="B6" s="9" cm="1">
        <f t="array" aca="1" ref="B6" ca="1">INDIRECT($A6&amp;"_1[[#Totals],["&amp;B$4&amp;"]]")</f>
        <v>3795</v>
      </c>
      <c r="C6" s="9" t="e" cm="1">
        <f t="array" aca="1" ref="C6" ca="1">INDIRECT($A6&amp;"_1[[#Totals],["&amp;C$4&amp;"]]")</f>
        <v>#REF!</v>
      </c>
      <c r="D6" s="9" t="e" cm="1">
        <f t="array" aca="1" ref="D6" ca="1">INDIRECT($A6&amp;"_1[[#Totals],["&amp;D$4&amp;"]]")</f>
        <v>#REF!</v>
      </c>
      <c r="E6" s="13"/>
    </row>
    <row r="7" spans="1:2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>
      <c r="A9" s="11" t="s">
        <v>27</v>
      </c>
      <c r="B9" s="9">
        <f ca="1">B5-B6-B7</f>
        <v>0</v>
      </c>
      <c r="C9" s="9" t="e">
        <f t="shared" ref="C9" ca="1" si="0">C5-C6-C7</f>
        <v>#REF!</v>
      </c>
      <c r="D9" s="9" t="e">
        <f ca="1">D5+D6+D7</f>
        <v>#REF!</v>
      </c>
      <c r="E9" s="13"/>
    </row>
    <row r="11" spans="1:2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>
      <c r="A13" s="16" t="s">
        <v>12</v>
      </c>
      <c r="B13" s="7">
        <v>2500</v>
      </c>
      <c r="C13" s="7" t="e" cm="1">
        <f t="array" aca="1" ref="C13" ca="1">_xlfn.XLOOKUP(A13,INDIRECT("'Finanse 8.12.xlsx'!incomes_"&amp;$A$2&amp;"[Category]"),INDIRECT("'Finanse 8.12.xlsx'!incomes_"&amp;$A$2&amp;"[Total]"),0,0,1)</f>
        <v>#REF!</v>
      </c>
      <c r="D13" s="17" t="e">
        <f ca="1">C13-B13</f>
        <v>#REF!</v>
      </c>
      <c r="F13" s="21" t="s">
        <v>41</v>
      </c>
      <c r="G13" s="3">
        <v>1735</v>
      </c>
      <c r="H13" s="3" t="e" cm="1">
        <f t="array" aca="1" ref="H13" ca="1">-_xlfn.XLOOKUP(F13,INDIRECT("'Finanse 8.12.xlsx'!expenses_"&amp;$A$2&amp;"[Category]"),INDIRECT("'Finanse 8.12.xlsx'!expenses_"&amp;$A$2&amp;"[Total]"),0,0,1)</f>
        <v>#REF!</v>
      </c>
      <c r="I13" s="22" t="e">
        <f ca="1">G13-H13</f>
        <v>#REF!</v>
      </c>
      <c r="K13" s="29" t="s">
        <v>13</v>
      </c>
      <c r="L13" s="14">
        <f ca="1">DATE(2025,$A$2,10)</f>
        <v>45971</v>
      </c>
      <c r="M13" s="8">
        <v>1500</v>
      </c>
      <c r="N13" s="30"/>
      <c r="P13" s="38" t="s">
        <v>18</v>
      </c>
      <c r="Q13" s="15">
        <f ca="1">DATE(2025,$A$2,5)</f>
        <v>45966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Savings_11[[#This Row],[Planned]]-Savings_11[[#This Row],[Actual]]</f>
        <v>500</v>
      </c>
    </row>
    <row r="14" spans="1:24">
      <c r="A14" s="16" t="s">
        <v>28</v>
      </c>
      <c r="B14" s="7">
        <v>300</v>
      </c>
      <c r="C14" s="7" t="e" cm="1">
        <f t="array" aca="1" ref="C14" ca="1">_xlfn.XLOOKUP(A14,INDIRECT("'Finanse 8.12.xlsx'!incomes_"&amp;$A$2&amp;"[Category]"),INDIRECT("'Finanse 8.12.xlsx'!incomes_"&amp;$A$2&amp;"[Total]"),0,0,1)</f>
        <v>#REF!</v>
      </c>
      <c r="D14" s="17" t="e">
        <f t="shared" ref="D14:D18" ca="1" si="1">C14-B14</f>
        <v>#REF!</v>
      </c>
      <c r="F14" s="21" t="s">
        <v>31</v>
      </c>
      <c r="G14" s="3">
        <v>200</v>
      </c>
      <c r="H14" s="3" t="e" cm="1">
        <f t="array" aca="1" ref="H14" ca="1">-_xlfn.XLOOKUP(F14,INDIRECT("'Finanse 8.12.xlsx'!expenses_"&amp;$A$2&amp;"[Category]"),INDIRECT("'Finanse 8.12.xlsx'!expenses_"&amp;$A$2&amp;"[Total]"),0,0,1)</f>
        <v>#REF!</v>
      </c>
      <c r="I14" s="22" t="e">
        <f t="shared" ref="I14:I21" ca="1" si="2">G14-H14</f>
        <v>#REF!</v>
      </c>
      <c r="K14" s="29" t="s">
        <v>17</v>
      </c>
      <c r="L14" s="14">
        <f ca="1">DATE(2025,$A$2,15)</f>
        <v>45976</v>
      </c>
      <c r="M14" s="8">
        <v>80</v>
      </c>
      <c r="N14" s="30"/>
      <c r="P14" s="38" t="s">
        <v>14</v>
      </c>
      <c r="Q14" s="15">
        <f ca="1">DATE(2025,$A$2,24)</f>
        <v>45985</v>
      </c>
      <c r="R14" s="5">
        <v>33</v>
      </c>
      <c r="S14" s="39"/>
      <c r="U14" s="47" t="s">
        <v>39</v>
      </c>
      <c r="V14" s="9">
        <v>800</v>
      </c>
      <c r="W14" s="48"/>
      <c r="X14" s="9">
        <f>Savings_11[[#This Row],[Planned]]-Savings_11[[#This Row],[Actual]]</f>
        <v>800</v>
      </c>
    </row>
    <row r="15" spans="1:24">
      <c r="A15" s="16" t="s">
        <v>29</v>
      </c>
      <c r="B15" s="7">
        <v>500</v>
      </c>
      <c r="C15" s="7" t="e" cm="1">
        <f t="array" aca="1" ref="C15" ca="1">_xlfn.XLOOKUP(A15,INDIRECT("'Finanse 8.12.xlsx'!incomes_"&amp;$A$2&amp;"[Category]"),INDIRECT("'Finanse 8.12.xlsx'!incomes_"&amp;$A$2&amp;"[Total]"),0,0,1)</f>
        <v>#REF!</v>
      </c>
      <c r="D15" s="17" t="e">
        <f t="shared" ca="1" si="1"/>
        <v>#REF!</v>
      </c>
      <c r="F15" s="21" t="s">
        <v>23</v>
      </c>
      <c r="G15" s="3">
        <v>300</v>
      </c>
      <c r="H15" s="3" t="e" cm="1">
        <f t="array" aca="1" ref="H15" ca="1">-_xlfn.XLOOKUP(F15,INDIRECT("'Finanse 8.12.xlsx'!expenses_"&amp;$A$2&amp;"[Category]"),INDIRECT("'Finanse 8.12.xlsx'!expenses_"&amp;$A$2&amp;"[Total]"),0,0,1)</f>
        <v>#REF!</v>
      </c>
      <c r="I15" s="22" t="e">
        <f t="shared" ca="1" si="2"/>
        <v>#REF!</v>
      </c>
      <c r="K15" s="29" t="s">
        <v>20</v>
      </c>
      <c r="L15" s="14">
        <f t="shared" ref="L15:L16" ca="1" si="3">DATE(2025,$A$2,10)</f>
        <v>45971</v>
      </c>
      <c r="M15" s="8">
        <v>35</v>
      </c>
      <c r="N15" s="30"/>
      <c r="P15" s="38" t="s">
        <v>36</v>
      </c>
      <c r="Q15" s="15">
        <f ca="1">DATE(2025,$A$2,2)</f>
        <v>45963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Savings_11[[#This Row],[Planned]]-Savings_11[[#This Row],[Actual]]</f>
        <v>605</v>
      </c>
    </row>
    <row r="16" spans="1:24">
      <c r="A16" s="16" t="s">
        <v>40</v>
      </c>
      <c r="B16" s="7">
        <v>100</v>
      </c>
      <c r="C16" s="7" t="e" cm="1">
        <f t="array" aca="1" ref="C16" ca="1">_xlfn.XLOOKUP(A16,INDIRECT("'Finanse 8.12.xlsx'!incomes_"&amp;$A$2&amp;"[Category]"),INDIRECT("'Finanse 8.12.xlsx'!incomes_"&amp;$A$2&amp;"[Total]"),0,0,1)</f>
        <v>#REF!</v>
      </c>
      <c r="D16" s="17" t="e">
        <f t="shared" ca="1" si="1"/>
        <v>#REF!</v>
      </c>
      <c r="F16" s="21" t="s">
        <v>16</v>
      </c>
      <c r="G16" s="3">
        <v>750</v>
      </c>
      <c r="H16" s="3" t="e" cm="1">
        <f t="array" aca="1" ref="H16" ca="1">-_xlfn.XLOOKUP(F16,INDIRECT("'Finanse 8.12.xlsx'!expenses_"&amp;$A$2&amp;"[Category]"),INDIRECT("'Finanse 8.12.xlsx'!expenses_"&amp;$A$2&amp;"[Total]"),0,0,1)</f>
        <v>#REF!</v>
      </c>
      <c r="I16" s="22" t="e">
        <f t="shared" ca="1" si="2"/>
        <v>#REF!</v>
      </c>
      <c r="K16" s="29" t="s">
        <v>19</v>
      </c>
      <c r="L16" s="14">
        <f t="shared" ca="1" si="3"/>
        <v>45971</v>
      </c>
      <c r="M16" s="8">
        <v>25</v>
      </c>
      <c r="N16" s="30"/>
      <c r="P16" s="38" t="s">
        <v>21</v>
      </c>
      <c r="Q16" s="15">
        <f ca="1">DATE(2025,$A$2,21)</f>
        <v>45982</v>
      </c>
      <c r="R16" s="5">
        <v>100</v>
      </c>
      <c r="S16" s="39"/>
      <c r="U16" s="47"/>
      <c r="V16" s="9"/>
      <c r="W16" s="48"/>
      <c r="X16" s="9">
        <f>Savings_11[[#This Row],[Planned]]-Savings_11[[#This Row],[Actual]]</f>
        <v>0</v>
      </c>
    </row>
    <row r="17" spans="1:24">
      <c r="A17" s="16" t="s">
        <v>30</v>
      </c>
      <c r="B17" s="7">
        <v>1500</v>
      </c>
      <c r="C17" s="7" t="e" cm="1">
        <f t="array" aca="1" ref="C17" ca="1">_xlfn.XLOOKUP(A17,INDIRECT("'Finanse 8.12.xlsx'!incomes_"&amp;$A$2&amp;"[Category]"),INDIRECT("'Finanse 8.12.xlsx'!incomes_"&amp;$A$2&amp;"[Total]"),0,0,1)</f>
        <v>#REF!</v>
      </c>
      <c r="D17" s="17" t="e">
        <f t="shared" ca="1" si="1"/>
        <v>#REF!</v>
      </c>
      <c r="F17" s="21" t="s">
        <v>32</v>
      </c>
      <c r="G17" s="3">
        <v>130</v>
      </c>
      <c r="H17" s="3" t="e" cm="1">
        <f t="array" aca="1" ref="H17" ca="1">-_xlfn.XLOOKUP(F17,INDIRECT("'Finanse 8.12.xlsx'!expenses_"&amp;$A$2&amp;"[Category]"),INDIRECT("'Finanse 8.12.xlsx'!expenses_"&amp;$A$2&amp;"[Total]"),0,0,1)</f>
        <v>#REF!</v>
      </c>
      <c r="I17" s="22" t="e">
        <f t="shared" ca="1" si="2"/>
        <v>#REF!</v>
      </c>
      <c r="K17" s="29" t="s">
        <v>22</v>
      </c>
      <c r="L17" s="14">
        <f ca="1">DATE(2025,$A$2,28)</f>
        <v>45989</v>
      </c>
      <c r="M17" s="8">
        <v>35</v>
      </c>
      <c r="N17" s="30"/>
      <c r="P17" s="38" t="s">
        <v>37</v>
      </c>
      <c r="Q17" s="15">
        <f ca="1">DATE(2025,$A$2,12)</f>
        <v>45973</v>
      </c>
      <c r="R17" s="5">
        <v>42.69</v>
      </c>
      <c r="S17" s="39"/>
      <c r="U17" s="47"/>
      <c r="V17" s="9"/>
      <c r="W17" s="48"/>
      <c r="X17" s="9">
        <f>Savings_11[[#This Row],[Planned]]-Savings_11[[#This Row],[Actual]]</f>
        <v>0</v>
      </c>
    </row>
    <row r="18" spans="1:24">
      <c r="A18" s="16" t="s">
        <v>15</v>
      </c>
      <c r="B18" s="7">
        <v>800</v>
      </c>
      <c r="C18" s="7" t="e" cm="1">
        <f t="array" aca="1" ref="C18" ca="1">_xlfn.XLOOKUP(A18,INDIRECT("'Finanse 8.12.xlsx'!incomes_"&amp;$A$2&amp;"[Category]"),INDIRECT("'Finanse 8.12.xlsx'!incomes_"&amp;$A$2&amp;"[Total]"),0,0,1)</f>
        <v>#REF!</v>
      </c>
      <c r="D18" s="17" t="e">
        <f t="shared" ca="1" si="1"/>
        <v>#REF!</v>
      </c>
      <c r="F18" s="21" t="s">
        <v>33</v>
      </c>
      <c r="G18" s="3">
        <v>130</v>
      </c>
      <c r="H18" s="3" t="e" cm="1">
        <f t="array" aca="1" ref="H18" ca="1">-_xlfn.XLOOKUP(F18,INDIRECT("'Finanse 8.12.xlsx'!expenses_"&amp;$A$2&amp;"[Category]"),INDIRECT("'Finanse 8.12.xlsx'!expenses_"&amp;$A$2&amp;"[Total]"),0,0,1)</f>
        <v>#REF!</v>
      </c>
      <c r="I18" s="22" t="e">
        <f t="shared" ca="1" si="2"/>
        <v>#REF!</v>
      </c>
      <c r="K18" s="29" t="s">
        <v>24</v>
      </c>
      <c r="L18" s="14">
        <f ca="1">DATE(2025,$A$2,20)</f>
        <v>45981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Savings_11[[#This Row],[Planned]]-Savings_11[[#This Row],[Actual]]</f>
        <v>0</v>
      </c>
    </row>
    <row r="19" spans="1:24">
      <c r="A19" s="16"/>
      <c r="B19" s="7"/>
      <c r="C19" s="7"/>
      <c r="D19" s="17"/>
      <c r="E19" s="6"/>
      <c r="F19" s="21" t="s">
        <v>42</v>
      </c>
      <c r="G19" s="3">
        <v>200</v>
      </c>
      <c r="H19" s="3" t="e" cm="1">
        <f t="array" aca="1" ref="H19" ca="1">-_xlfn.XLOOKUP(F19,INDIRECT("'Finanse 8.12.xlsx'!expenses_"&amp;$A$2&amp;"[Category]"),INDIRECT("'Finanse 8.12.xlsx'!expenses_"&amp;$A$2&amp;"[Total]"),0,0,1)</f>
        <v>#REF!</v>
      </c>
      <c r="I19" s="22" t="e">
        <f t="shared" ca="1" si="2"/>
        <v>#REF!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Savings_11[[#This Row],[Planned]]-Savings_11[[#This Row],[Actual]]</f>
        <v>0</v>
      </c>
    </row>
    <row r="20" spans="1:24">
      <c r="A20" s="16"/>
      <c r="B20" s="7"/>
      <c r="C20" s="7"/>
      <c r="D20" s="17"/>
      <c r="F20" s="21" t="s">
        <v>34</v>
      </c>
      <c r="G20" s="3">
        <v>200</v>
      </c>
      <c r="H20" s="3" t="e" cm="1">
        <f t="array" aca="1" ref="H20" ca="1">-_xlfn.XLOOKUP(F20,INDIRECT("'Finanse 8.12.xlsx'!expenses_"&amp;$A$2&amp;"[Category]"),INDIRECT("'Finanse 8.12.xlsx'!expenses_"&amp;$A$2&amp;"[Total]"),0,0,1)</f>
        <v>#REF!</v>
      </c>
      <c r="I20" s="22" t="e">
        <f t="shared" ca="1" si="2"/>
        <v>#REF!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Savings_11[[#This Row],[Planned]]-Savings_11[[#This Row],[Actual]]</f>
        <v>0</v>
      </c>
    </row>
    <row r="21" spans="1:24">
      <c r="A21" s="16"/>
      <c r="B21" s="7"/>
      <c r="C21" s="7"/>
      <c r="D21" s="17"/>
      <c r="F21" s="21" t="s">
        <v>35</v>
      </c>
      <c r="G21" s="3">
        <v>150</v>
      </c>
      <c r="H21" s="3" t="e" cm="1">
        <f t="array" aca="1" ref="H21" ca="1">-_xlfn.XLOOKUP(F21,INDIRECT("'Finanse 8.12.xlsx'!expenses_"&amp;$A$2&amp;"[Category]"),INDIRECT("'Finanse 8.12.xlsx'!expenses_"&amp;$A$2&amp;"[Total]"),0,0,1)</f>
        <v>#REF!</v>
      </c>
      <c r="I21" s="22" t="e">
        <f t="shared" ca="1" si="2"/>
        <v>#REF!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Savings_11[[#This Row],[Planned]]-Savings_11[[#This Row],[Actual]]</f>
        <v>0</v>
      </c>
    </row>
    <row r="22" spans="1:2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Savings_11[[#This Row],[Planned]]-Savings_11[[#This Row],[Actual]]</f>
        <v>0</v>
      </c>
    </row>
    <row r="23" spans="1:2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Savings_11[[#This Row],[Planned]]-Savings_11[[#This Row],[Actual]]</f>
        <v>0</v>
      </c>
    </row>
    <row r="24" spans="1:2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Savings_11[[#This Row],[Planned]]-Savings_11[[#This Row],[Actual]]</f>
        <v>0</v>
      </c>
    </row>
    <row r="25" spans="1:2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Savings_11[[#This Row],[Planned]]-Savings_11[[#This Row],[Actual]]</f>
        <v>0</v>
      </c>
    </row>
    <row r="26" spans="1:2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Savings_11[[#This Row],[Planned]]-Savings_11[[#This Row],[Actual]]</f>
        <v>0</v>
      </c>
    </row>
    <row r="27" spans="1:24" ht="22.5">
      <c r="A27" s="61" t="s">
        <v>45</v>
      </c>
      <c r="B27" s="62">
        <f>SUM(B13:B26)</f>
        <v>5700</v>
      </c>
      <c r="C27" s="62" t="e">
        <f ca="1">SUM(Income_11[Actual])</f>
        <v>#REF!</v>
      </c>
      <c r="D27" s="63" t="e">
        <f ca="1">SUBTOTAL(109,Income_11[Left])</f>
        <v>#REF!</v>
      </c>
      <c r="F27" s="58" t="s">
        <v>45</v>
      </c>
      <c r="G27" s="59">
        <f>SUM(G13:G26)</f>
        <v>3795</v>
      </c>
      <c r="H27" s="59" t="e">
        <f ca="1">SUM(H13:H26)</f>
        <v>#REF!</v>
      </c>
      <c r="I27" s="60" t="e">
        <f ca="1">SUBTOTAL(109,Expenses_11[Left])</f>
        <v>#REF!</v>
      </c>
      <c r="K27" s="64" t="s">
        <v>45</v>
      </c>
      <c r="L27" s="65"/>
      <c r="M27" s="66">
        <f>SUM(M13:M26)</f>
        <v>1735</v>
      </c>
      <c r="N27" s="67">
        <f>SUBTOTAL(103,Bills_11[Actual])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SUBTOTAL(103,Subscriptions_11[Actual])</f>
        <v>0</v>
      </c>
      <c r="U27" s="72" t="s">
        <v>45</v>
      </c>
      <c r="V27" s="73">
        <f>SUM(V13:V26)</f>
        <v>1905</v>
      </c>
      <c r="W27" s="74">
        <f>SUBTOTAL(109,Savings_11[Actual])</f>
        <v>0</v>
      </c>
      <c r="X27" s="10">
        <f>SUM(Savings_11[Left])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B1FF4-992B-468E-8FCB-5D39768ADCCC}">
  <sheetPr codeName="Sheet12"/>
  <dimension ref="A1:X27"/>
  <sheetViews>
    <sheetView zoomScale="115" zoomScaleNormal="115" workbookViewId="0">
      <selection activeCell="E9" sqref="E9"/>
    </sheetView>
  </sheetViews>
  <sheetFormatPr defaultColWidth="9.125" defaultRowHeight="21"/>
  <cols>
    <col min="1" max="1" width="17.125" style="1" bestFit="1" customWidth="1"/>
    <col min="2" max="4" width="22.375" style="1" bestFit="1" customWidth="1"/>
    <col min="5" max="5" width="9.125" style="1"/>
    <col min="6" max="6" width="21.25" style="1" bestFit="1" customWidth="1"/>
    <col min="7" max="9" width="21.125" style="1" bestFit="1" customWidth="1"/>
    <col min="10" max="10" width="9.125" style="1"/>
    <col min="11" max="11" width="14.625" style="1" customWidth="1"/>
    <col min="12" max="12" width="15.875" style="1" bestFit="1" customWidth="1"/>
    <col min="13" max="13" width="21.125" style="1" bestFit="1" customWidth="1"/>
    <col min="14" max="14" width="11.125" style="1" bestFit="1" customWidth="1"/>
    <col min="15" max="15" width="9.125" style="1"/>
    <col min="16" max="16" width="12.875" style="1" bestFit="1" customWidth="1"/>
    <col min="17" max="17" width="15.875" style="1" bestFit="1" customWidth="1"/>
    <col min="18" max="18" width="18.25" style="1" bestFit="1" customWidth="1"/>
    <col min="19" max="19" width="11.125" style="1" bestFit="1" customWidth="1"/>
    <col min="20" max="20" width="9.125" style="1"/>
    <col min="21" max="21" width="22.75" style="1" bestFit="1" customWidth="1"/>
    <col min="22" max="22" width="21.125" style="1" bestFit="1" customWidth="1"/>
    <col min="23" max="23" width="18.25" style="1" bestFit="1" customWidth="1"/>
    <col min="24" max="24" width="21.125" style="1" bestFit="1" customWidth="1"/>
    <col min="25" max="16384" width="9.125" style="1"/>
  </cols>
  <sheetData>
    <row r="1" spans="1:24">
      <c r="A1" s="79" t="s">
        <v>25</v>
      </c>
      <c r="B1" s="80"/>
      <c r="C1" s="80"/>
      <c r="D1" s="80"/>
      <c r="E1" s="12"/>
    </row>
    <row r="2" spans="1:24">
      <c r="A2" s="81" t="str" cm="1">
        <f t="array" aca="1" ref="A2" ca="1">RIGHT(CELL("filename",A1),LEN(CELL("filename",A1))-FIND("]",CELL("filename",A1)))</f>
        <v>12</v>
      </c>
      <c r="B2" s="82"/>
      <c r="C2" s="82"/>
      <c r="D2" s="82"/>
    </row>
    <row r="4" spans="1:24">
      <c r="B4" s="11" t="s">
        <v>6</v>
      </c>
      <c r="C4" s="11" t="s">
        <v>7</v>
      </c>
      <c r="D4" s="11" t="s">
        <v>26</v>
      </c>
      <c r="E4" s="13"/>
    </row>
    <row r="5" spans="1:24">
      <c r="A5" s="11" t="s">
        <v>46</v>
      </c>
      <c r="B5" s="9" cm="1">
        <f t="array" aca="1" ref="B5" ca="1">INDIRECT($A5&amp;"_1[[#Totals],["&amp;B$4&amp;"]]")</f>
        <v>5700</v>
      </c>
      <c r="C5" s="9" t="e" cm="1">
        <f t="array" aca="1" ref="C5" ca="1">INDIRECT($A5&amp;"_1[[#Totals],["&amp;C$4&amp;"]]")</f>
        <v>#REF!</v>
      </c>
      <c r="D5" s="9" t="e" cm="1">
        <f t="array" aca="1" ref="D5" ca="1">INDIRECT($A5&amp;"_1[[#Totals],["&amp;D$4&amp;"]]")</f>
        <v>#REF!</v>
      </c>
      <c r="E5" s="13"/>
    </row>
    <row r="6" spans="1:24">
      <c r="A6" s="11" t="s">
        <v>1</v>
      </c>
      <c r="B6" s="9" cm="1">
        <f t="array" aca="1" ref="B6" ca="1">INDIRECT($A6&amp;"_1[[#Totals],["&amp;B$4&amp;"]]")</f>
        <v>3795</v>
      </c>
      <c r="C6" s="9" t="e" cm="1">
        <f t="array" aca="1" ref="C6" ca="1">INDIRECT($A6&amp;"_1[[#Totals],["&amp;C$4&amp;"]]")</f>
        <v>#REF!</v>
      </c>
      <c r="D6" s="9" t="e" cm="1">
        <f t="array" aca="1" ref="D6" ca="1">INDIRECT($A6&amp;"_1[[#Totals],["&amp;D$4&amp;"]]")</f>
        <v>#REF!</v>
      </c>
      <c r="E6" s="13"/>
    </row>
    <row r="7" spans="1:24">
      <c r="A7" s="11" t="s">
        <v>4</v>
      </c>
      <c r="B7" s="9" cm="1">
        <f t="array" aca="1" ref="B7" ca="1">INDIRECT($A7&amp;"_1[[#Totals],["&amp;B$4&amp;"]]")</f>
        <v>1905</v>
      </c>
      <c r="C7" s="9" cm="1">
        <f t="array" aca="1" ref="C7" ca="1">INDIRECT($A7&amp;"_1[[#Totals],["&amp;C$4&amp;"]]")</f>
        <v>0</v>
      </c>
      <c r="D7" s="9" cm="1">
        <f t="array" aca="1" ref="D7" ca="1">INDIRECT($A7&amp;"_1[[#Totals],["&amp;D$4&amp;"]]")</f>
        <v>1905</v>
      </c>
      <c r="E7" s="13"/>
    </row>
    <row r="9" spans="1:24">
      <c r="A9" s="11" t="s">
        <v>27</v>
      </c>
      <c r="B9" s="9">
        <f ca="1">B5-B6-B7</f>
        <v>0</v>
      </c>
      <c r="C9" s="9" t="e">
        <f t="shared" ref="C9" ca="1" si="0">C5-C6-C7</f>
        <v>#REF!</v>
      </c>
      <c r="D9" s="9" t="e">
        <f ca="1">D5+D6+D7</f>
        <v>#REF!</v>
      </c>
      <c r="E9" s="13"/>
    </row>
    <row r="11" spans="1:24">
      <c r="A11" s="83" t="s">
        <v>0</v>
      </c>
      <c r="B11" s="84"/>
      <c r="C11" s="84"/>
      <c r="D11" s="84"/>
      <c r="F11" s="76" t="s">
        <v>1</v>
      </c>
      <c r="G11" s="77"/>
      <c r="H11" s="77"/>
      <c r="I11" s="78"/>
      <c r="K11" s="85" t="s">
        <v>2</v>
      </c>
      <c r="L11" s="85"/>
      <c r="M11" s="85"/>
      <c r="N11" s="85"/>
      <c r="P11" s="75" t="s">
        <v>3</v>
      </c>
      <c r="Q11" s="75"/>
      <c r="R11" s="75"/>
      <c r="S11" s="75"/>
      <c r="U11" s="79" t="s">
        <v>4</v>
      </c>
      <c r="V11" s="86"/>
      <c r="W11" s="86"/>
      <c r="X11" s="86"/>
    </row>
    <row r="12" spans="1:24" ht="22.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>
      <c r="A13" s="16" t="s">
        <v>12</v>
      </c>
      <c r="B13" s="7">
        <v>2500</v>
      </c>
      <c r="C13" s="7" t="e" cm="1">
        <f t="array" aca="1" ref="C13" ca="1">_xlfn.XLOOKUP(A13,INDIRECT("'Finanse 8.12.xlsx'!incomes_"&amp;$A$2&amp;"[Category]"),INDIRECT("'Finanse 8.12.xlsx'!incomes_"&amp;$A$2&amp;"[Total]"),0,0,1)</f>
        <v>#REF!</v>
      </c>
      <c r="D13" s="17" t="e">
        <f ca="1">C13-B13</f>
        <v>#REF!</v>
      </c>
      <c r="F13" s="21" t="s">
        <v>41</v>
      </c>
      <c r="G13" s="3">
        <v>1735</v>
      </c>
      <c r="H13" s="3" t="e" cm="1">
        <f t="array" aca="1" ref="H13" ca="1">-_xlfn.XLOOKUP(F13,INDIRECT("'Finanse 8.12.xlsx'!expenses_"&amp;$A$2&amp;"[Category]"),INDIRECT("'Finanse 8.12.xlsx'!expenses_"&amp;$A$2&amp;"[Total]"),0,0,1)</f>
        <v>#REF!</v>
      </c>
      <c r="I13" s="22" t="e">
        <f ca="1">G13-H13</f>
        <v>#REF!</v>
      </c>
      <c r="K13" s="29" t="s">
        <v>13</v>
      </c>
      <c r="L13" s="14">
        <f ca="1">DATE(2025,$A$2,10)</f>
        <v>46001</v>
      </c>
      <c r="M13" s="8">
        <v>1500</v>
      </c>
      <c r="N13" s="30"/>
      <c r="P13" s="38" t="s">
        <v>18</v>
      </c>
      <c r="Q13" s="15">
        <f ca="1">DATE(2025,$A$2,5)</f>
        <v>45996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Savings_12[[#This Row],[Planned]]-Savings_12[[#This Row],[Actual]]</f>
        <v>500</v>
      </c>
    </row>
    <row r="14" spans="1:24">
      <c r="A14" s="16" t="s">
        <v>28</v>
      </c>
      <c r="B14" s="7">
        <v>300</v>
      </c>
      <c r="C14" s="7" t="e" cm="1">
        <f t="array" aca="1" ref="C14" ca="1">_xlfn.XLOOKUP(A14,INDIRECT("'Finanse 8.12.xlsx'!incomes_"&amp;$A$2&amp;"[Category]"),INDIRECT("'Finanse 8.12.xlsx'!incomes_"&amp;$A$2&amp;"[Total]"),0,0,1)</f>
        <v>#REF!</v>
      </c>
      <c r="D14" s="17" t="e">
        <f t="shared" ref="D14:D18" ca="1" si="1">C14-B14</f>
        <v>#REF!</v>
      </c>
      <c r="F14" s="21" t="s">
        <v>31</v>
      </c>
      <c r="G14" s="3">
        <v>200</v>
      </c>
      <c r="H14" s="3" t="e" cm="1">
        <f t="array" aca="1" ref="H14" ca="1">-_xlfn.XLOOKUP(F14,INDIRECT("'Finanse 8.12.xlsx'!expenses_"&amp;$A$2&amp;"[Category]"),INDIRECT("'Finanse 8.12.xlsx'!expenses_"&amp;$A$2&amp;"[Total]"),0,0,1)</f>
        <v>#REF!</v>
      </c>
      <c r="I14" s="22" t="e">
        <f t="shared" ref="I14:I21" ca="1" si="2">G14-H14</f>
        <v>#REF!</v>
      </c>
      <c r="K14" s="29" t="s">
        <v>17</v>
      </c>
      <c r="L14" s="14">
        <f ca="1">DATE(2025,$A$2,15)</f>
        <v>46006</v>
      </c>
      <c r="M14" s="8">
        <v>80</v>
      </c>
      <c r="N14" s="30"/>
      <c r="P14" s="38" t="s">
        <v>14</v>
      </c>
      <c r="Q14" s="15">
        <f ca="1">DATE(2025,$A$2,24)</f>
        <v>46015</v>
      </c>
      <c r="R14" s="5">
        <v>33</v>
      </c>
      <c r="S14" s="39"/>
      <c r="U14" s="47" t="s">
        <v>39</v>
      </c>
      <c r="V14" s="9">
        <v>800</v>
      </c>
      <c r="W14" s="48"/>
      <c r="X14" s="9">
        <f>Savings_12[[#This Row],[Planned]]-Savings_12[[#This Row],[Actual]]</f>
        <v>800</v>
      </c>
    </row>
    <row r="15" spans="1:24">
      <c r="A15" s="16" t="s">
        <v>29</v>
      </c>
      <c r="B15" s="7">
        <v>500</v>
      </c>
      <c r="C15" s="7" t="e" cm="1">
        <f t="array" aca="1" ref="C15" ca="1">_xlfn.XLOOKUP(A15,INDIRECT("'Finanse 8.12.xlsx'!incomes_"&amp;$A$2&amp;"[Category]"),INDIRECT("'Finanse 8.12.xlsx'!incomes_"&amp;$A$2&amp;"[Total]"),0,0,1)</f>
        <v>#REF!</v>
      </c>
      <c r="D15" s="17" t="e">
        <f t="shared" ca="1" si="1"/>
        <v>#REF!</v>
      </c>
      <c r="F15" s="21" t="s">
        <v>23</v>
      </c>
      <c r="G15" s="3">
        <v>300</v>
      </c>
      <c r="H15" s="3" t="e" cm="1">
        <f t="array" aca="1" ref="H15" ca="1">-_xlfn.XLOOKUP(F15,INDIRECT("'Finanse 8.12.xlsx'!expenses_"&amp;$A$2&amp;"[Category]"),INDIRECT("'Finanse 8.12.xlsx'!expenses_"&amp;$A$2&amp;"[Total]"),0,0,1)</f>
        <v>#REF!</v>
      </c>
      <c r="I15" s="22" t="e">
        <f t="shared" ca="1" si="2"/>
        <v>#REF!</v>
      </c>
      <c r="K15" s="29" t="s">
        <v>20</v>
      </c>
      <c r="L15" s="14">
        <f t="shared" ref="L15:L16" ca="1" si="3">DATE(2025,$A$2,10)</f>
        <v>46001</v>
      </c>
      <c r="M15" s="8">
        <v>35</v>
      </c>
      <c r="N15" s="30"/>
      <c r="P15" s="38" t="s">
        <v>36</v>
      </c>
      <c r="Q15" s="15">
        <f ca="1">DATE(2025,$A$2,2)</f>
        <v>45993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Savings_12[[#This Row],[Planned]]-Savings_12[[#This Row],[Actual]]</f>
        <v>605</v>
      </c>
    </row>
    <row r="16" spans="1:24">
      <c r="A16" s="16" t="s">
        <v>40</v>
      </c>
      <c r="B16" s="7">
        <v>100</v>
      </c>
      <c r="C16" s="7" t="e" cm="1">
        <f t="array" aca="1" ref="C16" ca="1">_xlfn.XLOOKUP(A16,INDIRECT("'Finanse 8.12.xlsx'!incomes_"&amp;$A$2&amp;"[Category]"),INDIRECT("'Finanse 8.12.xlsx'!incomes_"&amp;$A$2&amp;"[Total]"),0,0,1)</f>
        <v>#REF!</v>
      </c>
      <c r="D16" s="17" t="e">
        <f t="shared" ca="1" si="1"/>
        <v>#REF!</v>
      </c>
      <c r="F16" s="21" t="s">
        <v>16</v>
      </c>
      <c r="G16" s="3">
        <v>750</v>
      </c>
      <c r="H16" s="3" t="e" cm="1">
        <f t="array" aca="1" ref="H16" ca="1">-_xlfn.XLOOKUP(F16,INDIRECT("'Finanse 8.12.xlsx'!expenses_"&amp;$A$2&amp;"[Category]"),INDIRECT("'Finanse 8.12.xlsx'!expenses_"&amp;$A$2&amp;"[Total]"),0,0,1)</f>
        <v>#REF!</v>
      </c>
      <c r="I16" s="22" t="e">
        <f t="shared" ca="1" si="2"/>
        <v>#REF!</v>
      </c>
      <c r="K16" s="29" t="s">
        <v>19</v>
      </c>
      <c r="L16" s="14">
        <f t="shared" ca="1" si="3"/>
        <v>46001</v>
      </c>
      <c r="M16" s="8">
        <v>25</v>
      </c>
      <c r="N16" s="30"/>
      <c r="P16" s="38" t="s">
        <v>21</v>
      </c>
      <c r="Q16" s="15">
        <f ca="1">DATE(2025,$A$2,21)</f>
        <v>46012</v>
      </c>
      <c r="R16" s="5">
        <v>100</v>
      </c>
      <c r="S16" s="39"/>
      <c r="U16" s="47"/>
      <c r="V16" s="9"/>
      <c r="W16" s="48"/>
      <c r="X16" s="9">
        <f>Savings_12[[#This Row],[Planned]]-Savings_12[[#This Row],[Actual]]</f>
        <v>0</v>
      </c>
    </row>
    <row r="17" spans="1:24">
      <c r="A17" s="16" t="s">
        <v>30</v>
      </c>
      <c r="B17" s="7">
        <v>1500</v>
      </c>
      <c r="C17" s="7" t="e" cm="1">
        <f t="array" aca="1" ref="C17" ca="1">_xlfn.XLOOKUP(A17,INDIRECT("'Finanse 8.12.xlsx'!incomes_"&amp;$A$2&amp;"[Category]"),INDIRECT("'Finanse 8.12.xlsx'!incomes_"&amp;$A$2&amp;"[Total]"),0,0,1)</f>
        <v>#REF!</v>
      </c>
      <c r="D17" s="17" t="e">
        <f t="shared" ca="1" si="1"/>
        <v>#REF!</v>
      </c>
      <c r="F17" s="21" t="s">
        <v>32</v>
      </c>
      <c r="G17" s="3">
        <v>130</v>
      </c>
      <c r="H17" s="3" t="e" cm="1">
        <f t="array" aca="1" ref="H17" ca="1">-_xlfn.XLOOKUP(F17,INDIRECT("'Finanse 8.12.xlsx'!expenses_"&amp;$A$2&amp;"[Category]"),INDIRECT("'Finanse 8.12.xlsx'!expenses_"&amp;$A$2&amp;"[Total]"),0,0,1)</f>
        <v>#REF!</v>
      </c>
      <c r="I17" s="22" t="e">
        <f t="shared" ca="1" si="2"/>
        <v>#REF!</v>
      </c>
      <c r="K17" s="29" t="s">
        <v>22</v>
      </c>
      <c r="L17" s="14">
        <f ca="1">DATE(2025,$A$2,28)</f>
        <v>46019</v>
      </c>
      <c r="M17" s="8">
        <v>35</v>
      </c>
      <c r="N17" s="30"/>
      <c r="P17" s="38" t="s">
        <v>37</v>
      </c>
      <c r="Q17" s="15">
        <f ca="1">DATE(2025,$A$2,12)</f>
        <v>46003</v>
      </c>
      <c r="R17" s="5">
        <v>42.69</v>
      </c>
      <c r="S17" s="39"/>
      <c r="U17" s="47"/>
      <c r="V17" s="9"/>
      <c r="W17" s="48"/>
      <c r="X17" s="9">
        <f>Savings_12[[#This Row],[Planned]]-Savings_12[[#This Row],[Actual]]</f>
        <v>0</v>
      </c>
    </row>
    <row r="18" spans="1:24">
      <c r="A18" s="16" t="s">
        <v>15</v>
      </c>
      <c r="B18" s="7">
        <v>800</v>
      </c>
      <c r="C18" s="7" t="e" cm="1">
        <f t="array" aca="1" ref="C18" ca="1">_xlfn.XLOOKUP(A18,INDIRECT("'Finanse 8.12.xlsx'!incomes_"&amp;$A$2&amp;"[Category]"),INDIRECT("'Finanse 8.12.xlsx'!incomes_"&amp;$A$2&amp;"[Total]"),0,0,1)</f>
        <v>#REF!</v>
      </c>
      <c r="D18" s="17" t="e">
        <f t="shared" ca="1" si="1"/>
        <v>#REF!</v>
      </c>
      <c r="F18" s="21" t="s">
        <v>33</v>
      </c>
      <c r="G18" s="3">
        <v>130</v>
      </c>
      <c r="H18" s="3" t="e" cm="1">
        <f t="array" aca="1" ref="H18" ca="1">-_xlfn.XLOOKUP(F18,INDIRECT("'Finanse 8.12.xlsx'!expenses_"&amp;$A$2&amp;"[Category]"),INDIRECT("'Finanse 8.12.xlsx'!expenses_"&amp;$A$2&amp;"[Total]"),0,0,1)</f>
        <v>#REF!</v>
      </c>
      <c r="I18" s="22" t="e">
        <f t="shared" ca="1" si="2"/>
        <v>#REF!</v>
      </c>
      <c r="K18" s="29" t="s">
        <v>24</v>
      </c>
      <c r="L18" s="14">
        <f ca="1">DATE(2025,$A$2,20)</f>
        <v>46011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Savings_12[[#This Row],[Planned]]-Savings_12[[#This Row],[Actual]]</f>
        <v>0</v>
      </c>
    </row>
    <row r="19" spans="1:24">
      <c r="A19" s="16"/>
      <c r="B19" s="7"/>
      <c r="C19" s="7"/>
      <c r="D19" s="17"/>
      <c r="E19" s="6"/>
      <c r="F19" s="21" t="s">
        <v>42</v>
      </c>
      <c r="G19" s="3">
        <v>200</v>
      </c>
      <c r="H19" s="3" t="e" cm="1">
        <f t="array" aca="1" ref="H19" ca="1">-_xlfn.XLOOKUP(F19,INDIRECT("'Finanse 8.12.xlsx'!expenses_"&amp;$A$2&amp;"[Category]"),INDIRECT("'Finanse 8.12.xlsx'!expenses_"&amp;$A$2&amp;"[Total]"),0,0,1)</f>
        <v>#REF!</v>
      </c>
      <c r="I19" s="22" t="e">
        <f t="shared" ca="1" si="2"/>
        <v>#REF!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Savings_12[[#This Row],[Planned]]-Savings_12[[#This Row],[Actual]]</f>
        <v>0</v>
      </c>
    </row>
    <row r="20" spans="1:24">
      <c r="A20" s="16"/>
      <c r="B20" s="7"/>
      <c r="C20" s="7"/>
      <c r="D20" s="17"/>
      <c r="F20" s="21" t="s">
        <v>34</v>
      </c>
      <c r="G20" s="3">
        <v>200</v>
      </c>
      <c r="H20" s="3" t="e" cm="1">
        <f t="array" aca="1" ref="H20" ca="1">-_xlfn.XLOOKUP(F20,INDIRECT("'Finanse 8.12.xlsx'!expenses_"&amp;$A$2&amp;"[Category]"),INDIRECT("'Finanse 8.12.xlsx'!expenses_"&amp;$A$2&amp;"[Total]"),0,0,1)</f>
        <v>#REF!</v>
      </c>
      <c r="I20" s="22" t="e">
        <f t="shared" ca="1" si="2"/>
        <v>#REF!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Savings_12[[#This Row],[Planned]]-Savings_12[[#This Row],[Actual]]</f>
        <v>0</v>
      </c>
    </row>
    <row r="21" spans="1:24">
      <c r="A21" s="16"/>
      <c r="B21" s="7"/>
      <c r="C21" s="7"/>
      <c r="D21" s="17"/>
      <c r="F21" s="21" t="s">
        <v>35</v>
      </c>
      <c r="G21" s="3">
        <v>150</v>
      </c>
      <c r="H21" s="3" t="e" cm="1">
        <f t="array" aca="1" ref="H21" ca="1">-_xlfn.XLOOKUP(F21,INDIRECT("'Finanse 8.12.xlsx'!expenses_"&amp;$A$2&amp;"[Category]"),INDIRECT("'Finanse 8.12.xlsx'!expenses_"&amp;$A$2&amp;"[Total]"),0,0,1)</f>
        <v>#REF!</v>
      </c>
      <c r="I21" s="22" t="e">
        <f t="shared" ca="1" si="2"/>
        <v>#REF!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Savings_12[[#This Row],[Planned]]-Savings_12[[#This Row],[Actual]]</f>
        <v>0</v>
      </c>
    </row>
    <row r="22" spans="1:2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Savings_12[[#This Row],[Planned]]-Savings_12[[#This Row],[Actual]]</f>
        <v>0</v>
      </c>
    </row>
    <row r="23" spans="1:2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Savings_12[[#This Row],[Planned]]-Savings_12[[#This Row],[Actual]]</f>
        <v>0</v>
      </c>
    </row>
    <row r="24" spans="1:2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Savings_12[[#This Row],[Planned]]-Savings_12[[#This Row],[Actual]]</f>
        <v>0</v>
      </c>
    </row>
    <row r="25" spans="1:2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Savings_12[[#This Row],[Planned]]-Savings_12[[#This Row],[Actual]]</f>
        <v>0</v>
      </c>
    </row>
    <row r="26" spans="1:2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Savings_12[[#This Row],[Planned]]-Savings_12[[#This Row],[Actual]]</f>
        <v>0</v>
      </c>
    </row>
    <row r="27" spans="1:24" ht="22.5">
      <c r="A27" s="61" t="s">
        <v>45</v>
      </c>
      <c r="B27" s="62">
        <f>SUM(B13:B26)</f>
        <v>5700</v>
      </c>
      <c r="C27" s="62" t="e">
        <f ca="1">SUM(Income_12[Actual])</f>
        <v>#REF!</v>
      </c>
      <c r="D27" s="63" t="e">
        <f ca="1">SUBTOTAL(109,Income_12[Left])</f>
        <v>#REF!</v>
      </c>
      <c r="F27" s="58" t="s">
        <v>45</v>
      </c>
      <c r="G27" s="59">
        <f>SUM(G13:G26)</f>
        <v>3795</v>
      </c>
      <c r="H27" s="59" t="e">
        <f ca="1">SUM(H13:H26)</f>
        <v>#REF!</v>
      </c>
      <c r="I27" s="60" t="e">
        <f ca="1">SUBTOTAL(109,Expenses_12[Left])</f>
        <v>#REF!</v>
      </c>
      <c r="K27" s="64" t="s">
        <v>45</v>
      </c>
      <c r="L27" s="65"/>
      <c r="M27" s="66">
        <f>SUM(M13:M26)</f>
        <v>1735</v>
      </c>
      <c r="N27" s="67">
        <f>SUBTOTAL(103,Bills_12[Actual])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SUBTOTAL(103,Subscriptions_12[Actual])</f>
        <v>0</v>
      </c>
      <c r="U27" s="72" t="s">
        <v>45</v>
      </c>
      <c r="V27" s="73">
        <f>SUM(V13:V26)</f>
        <v>1905</v>
      </c>
      <c r="W27" s="74">
        <f>SUBTOTAL(109,Savings_12[Actual])</f>
        <v>0</v>
      </c>
      <c r="X27" s="10">
        <f>SUM(Savings_12[Left])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Maja Abuhasna</dc:creator>
  <cp:keywords/>
  <dc:description/>
  <cp:lastModifiedBy>RisSetupInstall</cp:lastModifiedBy>
  <cp:revision/>
  <dcterms:created xsi:type="dcterms:W3CDTF">2025-10-31T12:46:44Z</dcterms:created>
  <dcterms:modified xsi:type="dcterms:W3CDTF">2026-01-09T12:46:15Z</dcterms:modified>
  <cp:category/>
  <cp:contentStatus/>
</cp:coreProperties>
</file>