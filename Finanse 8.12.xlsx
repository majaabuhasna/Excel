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ha\Desktop\"/>
    </mc:Choice>
  </mc:AlternateContent>
  <xr:revisionPtr revIDLastSave="0" documentId="13_ncr:1_{847ECE05-CD81-4439-8949-4DC9093EF689}" xr6:coauthVersionLast="47" xr6:coauthVersionMax="47" xr10:uidLastSave="{00000000-0000-0000-0000-000000000000}"/>
  <bookViews>
    <workbookView xWindow="20175" yWindow="0" windowWidth="18330" windowHeight="20985" activeTab="4" xr2:uid="{19EE711A-3283-4873-9107-9C9869A047C7}"/>
  </bookViews>
  <sheets>
    <sheet name="operations" sheetId="2" r:id="rId1"/>
    <sheet name="dicionary" sheetId="3" r:id="rId2"/>
    <sheet name="summary1" sheetId="18" r:id="rId3"/>
    <sheet name="summary2" sheetId="19" r:id="rId4"/>
    <sheet name="summary3" sheetId="20" r:id="rId5"/>
    <sheet name="1" sheetId="4" r:id="rId6"/>
    <sheet name="2" sheetId="6" r:id="rId7"/>
    <sheet name="3" sheetId="7" r:id="rId8"/>
    <sheet name="4" sheetId="8" r:id="rId9"/>
    <sheet name="5" sheetId="9" r:id="rId10"/>
    <sheet name="6" sheetId="11" r:id="rId11"/>
    <sheet name="7" sheetId="12" r:id="rId12"/>
    <sheet name="8" sheetId="13" r:id="rId13"/>
    <sheet name="9" sheetId="14" r:id="rId14"/>
    <sheet name="10" sheetId="15" r:id="rId15"/>
    <sheet name="11" sheetId="16" r:id="rId16"/>
    <sheet name="12" sheetId="17" r:id="rId17"/>
  </sheets>
  <definedNames>
    <definedName name="_xlnm._FilterDatabase" localSheetId="1" hidden="1">dicionary!$A$1:$B$17</definedName>
  </definedNames>
  <calcPr calcId="191028"/>
  <pivotCaches>
    <pivotCache cacheId="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8" i="2" l="1"/>
  <c r="G208" i="2"/>
  <c r="B11" i="17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9" a="1"/>
  <c r="B11" i="9" s="1"/>
  <c r="B11" i="8" a="1"/>
  <c r="B11" i="8" s="1"/>
  <c r="B11" i="7" a="1"/>
  <c r="B11" i="7" s="1"/>
  <c r="B11" i="6" a="1"/>
  <c r="B11" i="6" s="1"/>
  <c r="B11" i="4" a="1"/>
  <c r="B11" i="4" s="1"/>
  <c r="C9" i="4"/>
  <c r="E2" i="2"/>
  <c r="G2" i="2"/>
  <c r="G3" i="2"/>
  <c r="G4" i="2"/>
  <c r="G5" i="2"/>
  <c r="G6" i="2"/>
  <c r="G7" i="2"/>
  <c r="G8" i="2"/>
  <c r="G9" i="2"/>
  <c r="G10" i="2"/>
  <c r="C11" i="18" s="1" a="1"/>
  <c r="C11" i="18" s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F17" i="19" l="1"/>
  <c r="C13" i="19"/>
  <c r="N7" i="18" a="1"/>
  <c r="N7" i="18" s="1"/>
  <c r="N13" i="18" a="1"/>
  <c r="N13" i="18" s="1"/>
  <c r="L10" i="19"/>
  <c r="F4" i="19"/>
  <c r="M12" i="19"/>
  <c r="H6" i="19"/>
  <c r="J8" i="19"/>
  <c r="G19" i="19"/>
  <c r="G20" i="19" s="1"/>
  <c r="D15" i="19"/>
  <c r="N13" i="19"/>
  <c r="L17" i="19"/>
  <c r="I7" i="19"/>
  <c r="K17" i="19"/>
  <c r="H13" i="19"/>
  <c r="D13" i="18" a="1"/>
  <c r="D13" i="18" s="1"/>
  <c r="D8" i="19"/>
  <c r="M19" i="19"/>
  <c r="M20" i="19" s="1"/>
  <c r="E10" i="19"/>
  <c r="K6" i="18" a="1"/>
  <c r="K6" i="18" s="1"/>
  <c r="M14" i="18" a="1"/>
  <c r="M14" i="18" s="1"/>
  <c r="K9" i="19"/>
  <c r="D2" i="19"/>
  <c r="G13" i="19"/>
  <c r="J3" i="19"/>
  <c r="H17" i="18" a="1"/>
  <c r="H17" i="18" s="1"/>
  <c r="E5" i="18" a="1"/>
  <c r="E5" i="18" s="1"/>
  <c r="K4" i="19"/>
  <c r="E16" i="19"/>
  <c r="G12" i="19"/>
  <c r="E3" i="19"/>
  <c r="G5" i="19"/>
  <c r="F12" i="19"/>
  <c r="N7" i="19"/>
  <c r="C16" i="18" a="1"/>
  <c r="C16" i="18" s="1"/>
  <c r="C4" i="18" a="1"/>
  <c r="C4" i="18" s="1"/>
  <c r="D7" i="18" a="1"/>
  <c r="D7" i="18" s="1"/>
  <c r="E11" i="18" a="1"/>
  <c r="E11" i="18" s="1"/>
  <c r="F15" i="18" a="1"/>
  <c r="F15" i="18" s="1"/>
  <c r="F3" i="18" a="1"/>
  <c r="F3" i="18" s="1"/>
  <c r="G7" i="18" a="1"/>
  <c r="G7" i="18" s="1"/>
  <c r="H11" i="18" a="1"/>
  <c r="H11" i="18" s="1"/>
  <c r="I15" i="18" a="1"/>
  <c r="I15" i="18" s="1"/>
  <c r="I3" i="18" a="1"/>
  <c r="I3" i="18" s="1"/>
  <c r="J7" i="18" a="1"/>
  <c r="J7" i="18" s="1"/>
  <c r="K11" i="18" a="1"/>
  <c r="K11" i="18" s="1"/>
  <c r="L15" i="18" a="1"/>
  <c r="L15" i="18" s="1"/>
  <c r="L3" i="18" a="1"/>
  <c r="L3" i="18" s="1"/>
  <c r="M7" i="18" a="1"/>
  <c r="M7" i="18" s="1"/>
  <c r="N12" i="18" a="1"/>
  <c r="N12" i="18" s="1"/>
  <c r="C2" i="19"/>
  <c r="C6" i="19"/>
  <c r="F19" i="19"/>
  <c r="F20" i="19" s="1"/>
  <c r="E17" i="19"/>
  <c r="D16" i="19"/>
  <c r="N14" i="19"/>
  <c r="M13" i="19"/>
  <c r="L12" i="19"/>
  <c r="K10" i="19"/>
  <c r="J9" i="19"/>
  <c r="I8" i="19"/>
  <c r="H7" i="19"/>
  <c r="G6" i="19"/>
  <c r="F5" i="19"/>
  <c r="E4" i="19"/>
  <c r="D3" i="19"/>
  <c r="D2" i="18" a="1"/>
  <c r="D2" i="18" s="1"/>
  <c r="M2" i="18" a="1"/>
  <c r="M2" i="18" s="1"/>
  <c r="C15" i="18" a="1"/>
  <c r="C15" i="18" s="1"/>
  <c r="C3" i="18" a="1"/>
  <c r="C3" i="18" s="1"/>
  <c r="D6" i="18" a="1"/>
  <c r="D6" i="18" s="1"/>
  <c r="E10" i="18" a="1"/>
  <c r="E10" i="18" s="1"/>
  <c r="F14" i="18" a="1"/>
  <c r="F14" i="18" s="1"/>
  <c r="F2" i="18" a="1"/>
  <c r="F2" i="18" s="1"/>
  <c r="G6" i="18" a="1"/>
  <c r="G6" i="18" s="1"/>
  <c r="H10" i="18" a="1"/>
  <c r="H10" i="18" s="1"/>
  <c r="I14" i="18" a="1"/>
  <c r="I14" i="18" s="1"/>
  <c r="I2" i="18" a="1"/>
  <c r="I2" i="18" s="1"/>
  <c r="J6" i="18" a="1"/>
  <c r="J6" i="18" s="1"/>
  <c r="K10" i="18" a="1"/>
  <c r="K10" i="18" s="1"/>
  <c r="L14" i="18" a="1"/>
  <c r="L14" i="18" s="1"/>
  <c r="L2" i="18" a="1"/>
  <c r="L2" i="18" s="1"/>
  <c r="M6" i="18" a="1"/>
  <c r="M6" i="18" s="1"/>
  <c r="N11" i="18" a="1"/>
  <c r="N11" i="18" s="1"/>
  <c r="C19" i="19"/>
  <c r="C20" i="19" s="1"/>
  <c r="C5" i="19"/>
  <c r="E19" i="19"/>
  <c r="E20" i="19" s="1"/>
  <c r="D17" i="19"/>
  <c r="N15" i="19"/>
  <c r="M14" i="19"/>
  <c r="L13" i="19"/>
  <c r="K12" i="19"/>
  <c r="J10" i="19"/>
  <c r="I9" i="19"/>
  <c r="H8" i="19"/>
  <c r="G7" i="19"/>
  <c r="F6" i="19"/>
  <c r="E5" i="19"/>
  <c r="D4" i="19"/>
  <c r="N2" i="19"/>
  <c r="L10" i="18" a="1"/>
  <c r="L10" i="18" s="1"/>
  <c r="F9" i="18" a="1"/>
  <c r="F9" i="18" s="1"/>
  <c r="K5" i="18" a="1"/>
  <c r="K5" i="18" s="1"/>
  <c r="C14" i="18" a="1"/>
  <c r="C14" i="18" s="1"/>
  <c r="D17" i="18" a="1"/>
  <c r="D17" i="18" s="1"/>
  <c r="D5" i="18" a="1"/>
  <c r="D5" i="18" s="1"/>
  <c r="E9" i="18" a="1"/>
  <c r="E9" i="18" s="1"/>
  <c r="F13" i="18" a="1"/>
  <c r="F13" i="18" s="1"/>
  <c r="G17" i="18" a="1"/>
  <c r="G17" i="18" s="1"/>
  <c r="G5" i="18" a="1"/>
  <c r="G5" i="18" s="1"/>
  <c r="H9" i="18" a="1"/>
  <c r="H9" i="18" s="1"/>
  <c r="I13" i="18" a="1"/>
  <c r="I13" i="18" s="1"/>
  <c r="J17" i="18" a="1"/>
  <c r="J17" i="18" s="1"/>
  <c r="J5" i="18" a="1"/>
  <c r="J5" i="18" s="1"/>
  <c r="K9" i="18" a="1"/>
  <c r="K9" i="18" s="1"/>
  <c r="L13" i="18" a="1"/>
  <c r="L13" i="18" s="1"/>
  <c r="M17" i="18" a="1"/>
  <c r="M17" i="18" s="1"/>
  <c r="M5" i="18" a="1"/>
  <c r="M5" i="18" s="1"/>
  <c r="N10" i="18" a="1"/>
  <c r="N10" i="18" s="1"/>
  <c r="C17" i="19"/>
  <c r="C4" i="19"/>
  <c r="D19" i="19"/>
  <c r="D20" i="19" s="1"/>
  <c r="N16" i="19"/>
  <c r="M15" i="19"/>
  <c r="L14" i="19"/>
  <c r="K13" i="19"/>
  <c r="J12" i="19"/>
  <c r="I10" i="19"/>
  <c r="H9" i="19"/>
  <c r="G8" i="19"/>
  <c r="F7" i="19"/>
  <c r="E6" i="19"/>
  <c r="D5" i="19"/>
  <c r="N3" i="19"/>
  <c r="M2" i="19"/>
  <c r="I10" i="18" a="1"/>
  <c r="I10" i="18" s="1"/>
  <c r="E17" i="18" a="1"/>
  <c r="E17" i="18" s="1"/>
  <c r="C13" i="18" a="1"/>
  <c r="C13" i="18" s="1"/>
  <c r="D16" i="18" a="1"/>
  <c r="D16" i="18" s="1"/>
  <c r="D4" i="18" a="1"/>
  <c r="D4" i="18" s="1"/>
  <c r="E8" i="18" a="1"/>
  <c r="E8" i="18" s="1"/>
  <c r="F12" i="18" a="1"/>
  <c r="F12" i="18" s="1"/>
  <c r="G16" i="18" a="1"/>
  <c r="G16" i="18" s="1"/>
  <c r="G4" i="18" a="1"/>
  <c r="G4" i="18" s="1"/>
  <c r="H8" i="18" a="1"/>
  <c r="H8" i="18" s="1"/>
  <c r="I12" i="18" a="1"/>
  <c r="I12" i="18" s="1"/>
  <c r="J16" i="18" a="1"/>
  <c r="J16" i="18" s="1"/>
  <c r="J4" i="18" a="1"/>
  <c r="J4" i="18" s="1"/>
  <c r="K8" i="18" a="1"/>
  <c r="K8" i="18" s="1"/>
  <c r="L12" i="18" a="1"/>
  <c r="L12" i="18" s="1"/>
  <c r="M16" i="18" a="1"/>
  <c r="M16" i="18" s="1"/>
  <c r="M4" i="18" a="1"/>
  <c r="M4" i="18" s="1"/>
  <c r="N9" i="18" a="1"/>
  <c r="N9" i="18" s="1"/>
  <c r="C16" i="19"/>
  <c r="C3" i="19"/>
  <c r="N17" i="19"/>
  <c r="M16" i="19"/>
  <c r="L15" i="19"/>
  <c r="K14" i="19"/>
  <c r="J13" i="19"/>
  <c r="I12" i="19"/>
  <c r="H10" i="19"/>
  <c r="G9" i="19"/>
  <c r="F8" i="19"/>
  <c r="E7" i="19"/>
  <c r="D6" i="19"/>
  <c r="N4" i="19"/>
  <c r="M3" i="19"/>
  <c r="L2" i="19"/>
  <c r="H6" i="18" a="1"/>
  <c r="H6" i="18" s="1"/>
  <c r="C10" i="18" a="1"/>
  <c r="C10" i="18" s="1"/>
  <c r="C12" i="18" a="1"/>
  <c r="C12" i="18" s="1"/>
  <c r="D15" i="18" a="1"/>
  <c r="D15" i="18" s="1"/>
  <c r="D3" i="18" a="1"/>
  <c r="D3" i="18" s="1"/>
  <c r="E7" i="18" a="1"/>
  <c r="E7" i="18" s="1"/>
  <c r="F11" i="18" a="1"/>
  <c r="F11" i="18" s="1"/>
  <c r="G15" i="18" a="1"/>
  <c r="G15" i="18" s="1"/>
  <c r="G3" i="18" a="1"/>
  <c r="G3" i="18" s="1"/>
  <c r="H7" i="18" a="1"/>
  <c r="H7" i="18" s="1"/>
  <c r="I11" i="18" a="1"/>
  <c r="I11" i="18" s="1"/>
  <c r="J15" i="18" a="1"/>
  <c r="J15" i="18" s="1"/>
  <c r="J3" i="18" a="1"/>
  <c r="J3" i="18" s="1"/>
  <c r="K7" i="18" a="1"/>
  <c r="K7" i="18" s="1"/>
  <c r="L11" i="18" a="1"/>
  <c r="L11" i="18" s="1"/>
  <c r="M15" i="18" a="1"/>
  <c r="M15" i="18" s="1"/>
  <c r="M3" i="18" a="1"/>
  <c r="M3" i="18" s="1"/>
  <c r="N8" i="18" a="1"/>
  <c r="N8" i="18" s="1"/>
  <c r="C15" i="19"/>
  <c r="N19" i="19"/>
  <c r="N20" i="19" s="1"/>
  <c r="M17" i="19"/>
  <c r="L16" i="19"/>
  <c r="K15" i="19"/>
  <c r="J14" i="19"/>
  <c r="I13" i="19"/>
  <c r="H12" i="19"/>
  <c r="G10" i="19"/>
  <c r="F9" i="19"/>
  <c r="E8" i="19"/>
  <c r="D7" i="19"/>
  <c r="N5" i="19"/>
  <c r="M4" i="19"/>
  <c r="L3" i="19"/>
  <c r="K2" i="19"/>
  <c r="F10" i="18" a="1"/>
  <c r="F10" i="18" s="1"/>
  <c r="J2" i="18" a="1"/>
  <c r="J2" i="18" s="1"/>
  <c r="C14" i="19"/>
  <c r="K16" i="19"/>
  <c r="J15" i="19"/>
  <c r="I14" i="19"/>
  <c r="F10" i="19"/>
  <c r="E9" i="19"/>
  <c r="N6" i="19"/>
  <c r="M5" i="19"/>
  <c r="L4" i="19"/>
  <c r="K3" i="19"/>
  <c r="J2" i="19"/>
  <c r="G14" i="18" a="1"/>
  <c r="G14" i="18" s="1"/>
  <c r="J13" i="18" a="1"/>
  <c r="J13" i="18" s="1"/>
  <c r="L19" i="19"/>
  <c r="L20" i="19" s="1"/>
  <c r="H14" i="19"/>
  <c r="D9" i="19"/>
  <c r="M6" i="19"/>
  <c r="L5" i="19"/>
  <c r="I2" i="19"/>
  <c r="E6" i="18" a="1"/>
  <c r="E6" i="18" s="1"/>
  <c r="J14" i="18" a="1"/>
  <c r="J14" i="18" s="1"/>
  <c r="G13" i="18" a="1"/>
  <c r="G13" i="18" s="1"/>
  <c r="M13" i="18" a="1"/>
  <c r="M13" i="18" s="1"/>
  <c r="C9" i="18" a="1"/>
  <c r="C9" i="18" s="1"/>
  <c r="D12" i="18" a="1"/>
  <c r="D12" i="18" s="1"/>
  <c r="E16" i="18" a="1"/>
  <c r="E16" i="18" s="1"/>
  <c r="E4" i="18" a="1"/>
  <c r="E4" i="18" s="1"/>
  <c r="F8" i="18" a="1"/>
  <c r="F8" i="18" s="1"/>
  <c r="G12" i="18" a="1"/>
  <c r="G12" i="18" s="1"/>
  <c r="H16" i="18" a="1"/>
  <c r="H16" i="18" s="1"/>
  <c r="H4" i="18" a="1"/>
  <c r="H4" i="18" s="1"/>
  <c r="I8" i="18" a="1"/>
  <c r="I8" i="18" s="1"/>
  <c r="J12" i="18" a="1"/>
  <c r="J12" i="18" s="1"/>
  <c r="K16" i="18" a="1"/>
  <c r="K16" i="18" s="1"/>
  <c r="K4" i="18" a="1"/>
  <c r="K4" i="18" s="1"/>
  <c r="L8" i="18" a="1"/>
  <c r="L8" i="18" s="1"/>
  <c r="M12" i="18" a="1"/>
  <c r="M12" i="18" s="1"/>
  <c r="N16" i="18" a="1"/>
  <c r="N16" i="18" s="1"/>
  <c r="N6" i="18" a="1"/>
  <c r="N6" i="18" s="1"/>
  <c r="C12" i="19"/>
  <c r="K19" i="19"/>
  <c r="K20" i="19" s="1"/>
  <c r="J17" i="19"/>
  <c r="I16" i="19"/>
  <c r="H15" i="19"/>
  <c r="G14" i="19"/>
  <c r="F13" i="19"/>
  <c r="E12" i="19"/>
  <c r="D10" i="19"/>
  <c r="N8" i="19"/>
  <c r="M7" i="19"/>
  <c r="L6" i="19"/>
  <c r="K5" i="19"/>
  <c r="J4" i="19"/>
  <c r="I3" i="19"/>
  <c r="H2" i="19"/>
  <c r="D14" i="18" a="1"/>
  <c r="D14" i="18" s="1"/>
  <c r="H5" i="18" a="1"/>
  <c r="H5" i="18" s="1"/>
  <c r="K17" i="18" a="1"/>
  <c r="K17" i="18" s="1"/>
  <c r="I15" i="19"/>
  <c r="C8" i="18" a="1"/>
  <c r="C8" i="18" s="1"/>
  <c r="D11" i="18" a="1"/>
  <c r="D11" i="18" s="1"/>
  <c r="E15" i="18" a="1"/>
  <c r="E15" i="18" s="1"/>
  <c r="E3" i="18" a="1"/>
  <c r="E3" i="18" s="1"/>
  <c r="F7" i="18" a="1"/>
  <c r="F7" i="18" s="1"/>
  <c r="G11" i="18" a="1"/>
  <c r="G11" i="18" s="1"/>
  <c r="H15" i="18" a="1"/>
  <c r="H15" i="18" s="1"/>
  <c r="H3" i="18" a="1"/>
  <c r="H3" i="18" s="1"/>
  <c r="I7" i="18" a="1"/>
  <c r="I7" i="18" s="1"/>
  <c r="J11" i="18" a="1"/>
  <c r="J11" i="18" s="1"/>
  <c r="K15" i="18" a="1"/>
  <c r="K15" i="18" s="1"/>
  <c r="K3" i="18" a="1"/>
  <c r="K3" i="18" s="1"/>
  <c r="L7" i="18" a="1"/>
  <c r="L7" i="18" s="1"/>
  <c r="M11" i="18" a="1"/>
  <c r="M11" i="18" s="1"/>
  <c r="N15" i="18" a="1"/>
  <c r="N15" i="18" s="1"/>
  <c r="N5" i="18" a="1"/>
  <c r="N5" i="18" s="1"/>
  <c r="C10" i="19"/>
  <c r="J19" i="19"/>
  <c r="J20" i="19" s="1"/>
  <c r="I17" i="19"/>
  <c r="H16" i="19"/>
  <c r="G15" i="19"/>
  <c r="F14" i="19"/>
  <c r="E13" i="19"/>
  <c r="D12" i="19"/>
  <c r="N9" i="19"/>
  <c r="M8" i="19"/>
  <c r="L7" i="19"/>
  <c r="K6" i="19"/>
  <c r="J5" i="19"/>
  <c r="I4" i="19"/>
  <c r="H3" i="19"/>
  <c r="G2" i="19"/>
  <c r="G2" i="18" a="1"/>
  <c r="G2" i="18" s="1"/>
  <c r="I9" i="18" a="1"/>
  <c r="I9" i="18" s="1"/>
  <c r="N17" i="18" a="1"/>
  <c r="N17" i="18" s="1"/>
  <c r="J16" i="19"/>
  <c r="J18" i="19" s="1"/>
  <c r="C7" i="18" a="1"/>
  <c r="C7" i="18" s="1"/>
  <c r="D10" i="18" a="1"/>
  <c r="D10" i="18" s="1"/>
  <c r="E14" i="18" a="1"/>
  <c r="E14" i="18" s="1"/>
  <c r="E2" i="18" a="1"/>
  <c r="E2" i="18" s="1"/>
  <c r="F6" i="18" a="1"/>
  <c r="F6" i="18" s="1"/>
  <c r="G10" i="18" a="1"/>
  <c r="G10" i="18" s="1"/>
  <c r="H14" i="18" a="1"/>
  <c r="H14" i="18" s="1"/>
  <c r="H2" i="18" a="1"/>
  <c r="H2" i="18" s="1"/>
  <c r="I6" i="18" a="1"/>
  <c r="I6" i="18" s="1"/>
  <c r="J10" i="18" a="1"/>
  <c r="J10" i="18" s="1"/>
  <c r="K14" i="18" a="1"/>
  <c r="K14" i="18" s="1"/>
  <c r="K2" i="18" a="1"/>
  <c r="K2" i="18" s="1"/>
  <c r="L6" i="18" a="1"/>
  <c r="L6" i="18" s="1"/>
  <c r="M10" i="18" a="1"/>
  <c r="M10" i="18" s="1"/>
  <c r="N14" i="18" a="1"/>
  <c r="N14" i="18" s="1"/>
  <c r="N4" i="18" a="1"/>
  <c r="N4" i="18" s="1"/>
  <c r="C9" i="19"/>
  <c r="I19" i="19"/>
  <c r="I20" i="19" s="1"/>
  <c r="H17" i="19"/>
  <c r="G16" i="19"/>
  <c r="F15" i="19"/>
  <c r="E14" i="19"/>
  <c r="D13" i="19"/>
  <c r="N10" i="19"/>
  <c r="M9" i="19"/>
  <c r="L8" i="19"/>
  <c r="K7" i="19"/>
  <c r="J6" i="19"/>
  <c r="I5" i="19"/>
  <c r="H4" i="19"/>
  <c r="G3" i="19"/>
  <c r="F2" i="19"/>
  <c r="H2" i="4"/>
  <c r="C2" i="18" a="1"/>
  <c r="C2" i="18" s="1"/>
  <c r="C6" i="18" a="1"/>
  <c r="C6" i="18" s="1"/>
  <c r="D9" i="18" a="1"/>
  <c r="D9" i="18" s="1"/>
  <c r="E13" i="18" a="1"/>
  <c r="E13" i="18" s="1"/>
  <c r="F17" i="18" a="1"/>
  <c r="F17" i="18" s="1"/>
  <c r="F5" i="18" a="1"/>
  <c r="F5" i="18" s="1"/>
  <c r="G9" i="18" a="1"/>
  <c r="G9" i="18" s="1"/>
  <c r="H13" i="18" a="1"/>
  <c r="H13" i="18" s="1"/>
  <c r="I17" i="18" a="1"/>
  <c r="I17" i="18" s="1"/>
  <c r="I5" i="18" a="1"/>
  <c r="I5" i="18" s="1"/>
  <c r="J9" i="18" a="1"/>
  <c r="J9" i="18" s="1"/>
  <c r="K13" i="18" a="1"/>
  <c r="K13" i="18" s="1"/>
  <c r="L17" i="18" a="1"/>
  <c r="L17" i="18" s="1"/>
  <c r="L5" i="18" a="1"/>
  <c r="L5" i="18" s="1"/>
  <c r="M9" i="18" a="1"/>
  <c r="M9" i="18" s="1"/>
  <c r="N3" i="18" a="1"/>
  <c r="N3" i="18" s="1"/>
  <c r="C8" i="19"/>
  <c r="H19" i="19"/>
  <c r="H20" i="19" s="1"/>
  <c r="G17" i="19"/>
  <c r="F16" i="19"/>
  <c r="E15" i="19"/>
  <c r="D14" i="19"/>
  <c r="N12" i="19"/>
  <c r="M10" i="19"/>
  <c r="L9" i="19"/>
  <c r="K8" i="19"/>
  <c r="J7" i="19"/>
  <c r="I6" i="19"/>
  <c r="H5" i="19"/>
  <c r="G4" i="19"/>
  <c r="F3" i="19"/>
  <c r="E2" i="19"/>
  <c r="L9" i="18" a="1"/>
  <c r="L9" i="18" s="1"/>
  <c r="D2" i="6"/>
  <c r="C17" i="18" a="1"/>
  <c r="C17" i="18" s="1"/>
  <c r="C5" i="18" a="1"/>
  <c r="C5" i="18" s="1"/>
  <c r="D8" i="18" a="1"/>
  <c r="D8" i="18" s="1"/>
  <c r="E12" i="18" a="1"/>
  <c r="E12" i="18" s="1"/>
  <c r="F16" i="18" a="1"/>
  <c r="F16" i="18" s="1"/>
  <c r="F4" i="18" a="1"/>
  <c r="F4" i="18" s="1"/>
  <c r="G8" i="18" a="1"/>
  <c r="G8" i="18" s="1"/>
  <c r="H12" i="18" a="1"/>
  <c r="H12" i="18" s="1"/>
  <c r="I16" i="18" a="1"/>
  <c r="I16" i="18" s="1"/>
  <c r="I4" i="18" a="1"/>
  <c r="I4" i="18" s="1"/>
  <c r="J8" i="18" a="1"/>
  <c r="J8" i="18" s="1"/>
  <c r="K12" i="18" a="1"/>
  <c r="K12" i="18" s="1"/>
  <c r="L16" i="18" a="1"/>
  <c r="L16" i="18" s="1"/>
  <c r="L4" i="18" a="1"/>
  <c r="L4" i="18" s="1"/>
  <c r="M8" i="18" a="1"/>
  <c r="M8" i="18" s="1"/>
  <c r="N2" i="18" a="1"/>
  <c r="N2" i="18" s="1"/>
  <c r="C7" i="19"/>
  <c r="K9" i="17"/>
  <c r="K8" i="17"/>
  <c r="K6" i="17"/>
  <c r="K4" i="17"/>
  <c r="K2" i="17"/>
  <c r="B16" i="17"/>
  <c r="D7" i="17"/>
  <c r="H6" i="17"/>
  <c r="D5" i="17"/>
  <c r="H4" i="17"/>
  <c r="D3" i="17"/>
  <c r="H2" i="17"/>
  <c r="B15" i="17"/>
  <c r="K7" i="17"/>
  <c r="K5" i="17"/>
  <c r="K3" i="17"/>
  <c r="B14" i="17"/>
  <c r="K10" i="17"/>
  <c r="D8" i="17"/>
  <c r="H7" i="17"/>
  <c r="D6" i="17"/>
  <c r="H5" i="17"/>
  <c r="D4" i="17"/>
  <c r="H3" i="17"/>
  <c r="D2" i="17"/>
  <c r="K9" i="16"/>
  <c r="K8" i="16"/>
  <c r="K6" i="16"/>
  <c r="K4" i="16"/>
  <c r="K2" i="16"/>
  <c r="B16" i="16"/>
  <c r="D7" i="16"/>
  <c r="H6" i="16"/>
  <c r="D5" i="16"/>
  <c r="H4" i="16"/>
  <c r="D3" i="16"/>
  <c r="H2" i="16"/>
  <c r="B14" i="16"/>
  <c r="K10" i="16"/>
  <c r="D8" i="16"/>
  <c r="H7" i="16"/>
  <c r="D6" i="16"/>
  <c r="H5" i="16"/>
  <c r="D4" i="16"/>
  <c r="H3" i="16"/>
  <c r="D2" i="16"/>
  <c r="B15" i="16"/>
  <c r="K7" i="16"/>
  <c r="K5" i="16"/>
  <c r="K3" i="16"/>
  <c r="K9" i="15"/>
  <c r="K8" i="15"/>
  <c r="K6" i="15"/>
  <c r="K4" i="15"/>
  <c r="K2" i="15"/>
  <c r="B14" i="15"/>
  <c r="D8" i="15"/>
  <c r="H7" i="15"/>
  <c r="D4" i="15"/>
  <c r="H3" i="15"/>
  <c r="B16" i="15"/>
  <c r="D7" i="15"/>
  <c r="H6" i="15"/>
  <c r="D5" i="15"/>
  <c r="H4" i="15"/>
  <c r="D3" i="15"/>
  <c r="H2" i="15"/>
  <c r="K10" i="15"/>
  <c r="H5" i="15"/>
  <c r="B15" i="15"/>
  <c r="K7" i="15"/>
  <c r="K5" i="15"/>
  <c r="K3" i="15"/>
  <c r="D6" i="15"/>
  <c r="D2" i="15"/>
  <c r="K9" i="14"/>
  <c r="D5" i="14"/>
  <c r="H4" i="14"/>
  <c r="H6" i="14"/>
  <c r="H2" i="14"/>
  <c r="D7" i="14"/>
  <c r="D3" i="14"/>
  <c r="B16" i="14"/>
  <c r="D2" i="14"/>
  <c r="H3" i="14"/>
  <c r="D4" i="14"/>
  <c r="H5" i="14"/>
  <c r="D6" i="14"/>
  <c r="H7" i="14"/>
  <c r="D8" i="14"/>
  <c r="K10" i="14"/>
  <c r="B14" i="14"/>
  <c r="K3" i="14"/>
  <c r="K5" i="14"/>
  <c r="K7" i="14"/>
  <c r="B15" i="14"/>
  <c r="K2" i="14"/>
  <c r="K4" i="14"/>
  <c r="K6" i="14"/>
  <c r="K8" i="14"/>
  <c r="K9" i="13"/>
  <c r="K8" i="13"/>
  <c r="K6" i="13"/>
  <c r="K4" i="13"/>
  <c r="K2" i="13"/>
  <c r="B16" i="13"/>
  <c r="D7" i="13"/>
  <c r="H6" i="13"/>
  <c r="D5" i="13"/>
  <c r="H4" i="13"/>
  <c r="D3" i="13"/>
  <c r="H2" i="13"/>
  <c r="B15" i="13"/>
  <c r="K7" i="13"/>
  <c r="K5" i="13"/>
  <c r="K3" i="13"/>
  <c r="B14" i="13"/>
  <c r="K10" i="13"/>
  <c r="D8" i="13"/>
  <c r="H7" i="13"/>
  <c r="D6" i="13"/>
  <c r="H5" i="13"/>
  <c r="D4" i="13"/>
  <c r="H3" i="13"/>
  <c r="D2" i="13"/>
  <c r="K9" i="12"/>
  <c r="K8" i="12"/>
  <c r="K6" i="12"/>
  <c r="K4" i="12"/>
  <c r="K2" i="12"/>
  <c r="B14" i="12"/>
  <c r="K10" i="12"/>
  <c r="D8" i="12"/>
  <c r="H7" i="12"/>
  <c r="D6" i="12"/>
  <c r="H5" i="12"/>
  <c r="D4" i="12"/>
  <c r="H3" i="12"/>
  <c r="D2" i="12"/>
  <c r="B16" i="12"/>
  <c r="D7" i="12"/>
  <c r="H6" i="12"/>
  <c r="D5" i="12"/>
  <c r="H4" i="12"/>
  <c r="D3" i="12"/>
  <c r="H2" i="12"/>
  <c r="B15" i="12"/>
  <c r="K7" i="12"/>
  <c r="K5" i="12"/>
  <c r="K3" i="12"/>
  <c r="K9" i="11"/>
  <c r="K8" i="11"/>
  <c r="K6" i="11"/>
  <c r="K4" i="11"/>
  <c r="K2" i="11"/>
  <c r="H2" i="11"/>
  <c r="B14" i="11"/>
  <c r="K10" i="11"/>
  <c r="D8" i="11"/>
  <c r="H7" i="11"/>
  <c r="D6" i="11"/>
  <c r="H5" i="11"/>
  <c r="D4" i="11"/>
  <c r="H3" i="11"/>
  <c r="D2" i="11"/>
  <c r="B16" i="11"/>
  <c r="D7" i="11"/>
  <c r="H6" i="11"/>
  <c r="D5" i="11"/>
  <c r="H4" i="11"/>
  <c r="D3" i="11"/>
  <c r="B15" i="11"/>
  <c r="K7" i="11"/>
  <c r="K5" i="11"/>
  <c r="K3" i="11"/>
  <c r="K9" i="9"/>
  <c r="K8" i="9"/>
  <c r="K6" i="9"/>
  <c r="K4" i="9"/>
  <c r="K2" i="9"/>
  <c r="B16" i="9"/>
  <c r="D7" i="9"/>
  <c r="H6" i="9"/>
  <c r="D5" i="9"/>
  <c r="H4" i="9"/>
  <c r="D3" i="9"/>
  <c r="H2" i="9"/>
  <c r="B15" i="9"/>
  <c r="K7" i="9"/>
  <c r="K5" i="9"/>
  <c r="K3" i="9"/>
  <c r="B14" i="9"/>
  <c r="K10" i="9"/>
  <c r="D8" i="9"/>
  <c r="H7" i="9"/>
  <c r="D6" i="9"/>
  <c r="H5" i="9"/>
  <c r="D4" i="9"/>
  <c r="H3" i="9"/>
  <c r="D2" i="9"/>
  <c r="K9" i="8"/>
  <c r="K8" i="8"/>
  <c r="K6" i="8"/>
  <c r="K4" i="8"/>
  <c r="K2" i="8"/>
  <c r="B16" i="8"/>
  <c r="D7" i="8"/>
  <c r="H6" i="8"/>
  <c r="D5" i="8"/>
  <c r="H4" i="8"/>
  <c r="D3" i="8"/>
  <c r="H2" i="8"/>
  <c r="K7" i="8"/>
  <c r="K5" i="8"/>
  <c r="K3" i="8"/>
  <c r="B15" i="8"/>
  <c r="B14" i="8"/>
  <c r="K10" i="8"/>
  <c r="D8" i="8"/>
  <c r="H7" i="8"/>
  <c r="D6" i="8"/>
  <c r="H5" i="8"/>
  <c r="D4" i="8"/>
  <c r="H3" i="8"/>
  <c r="D2" i="8"/>
  <c r="K9" i="7"/>
  <c r="K8" i="7"/>
  <c r="K6" i="7"/>
  <c r="K4" i="7"/>
  <c r="K2" i="7"/>
  <c r="D7" i="7"/>
  <c r="H6" i="7"/>
  <c r="D3" i="7"/>
  <c r="H2" i="7"/>
  <c r="B14" i="7"/>
  <c r="K10" i="7"/>
  <c r="D8" i="7"/>
  <c r="H7" i="7"/>
  <c r="D6" i="7"/>
  <c r="H5" i="7"/>
  <c r="D4" i="7"/>
  <c r="D2" i="7"/>
  <c r="B16" i="7"/>
  <c r="D5" i="7"/>
  <c r="H4" i="7"/>
  <c r="H3" i="7"/>
  <c r="B15" i="7"/>
  <c r="K7" i="7"/>
  <c r="K5" i="7"/>
  <c r="K3" i="7"/>
  <c r="D8" i="6"/>
  <c r="D4" i="6"/>
  <c r="D7" i="6"/>
  <c r="D3" i="6"/>
  <c r="D5" i="6"/>
  <c r="D6" i="6"/>
  <c r="D2" i="4"/>
  <c r="E2" i="4" s="1"/>
  <c r="D8" i="4"/>
  <c r="E8" i="4" s="1"/>
  <c r="D5" i="4"/>
  <c r="E5" i="4" s="1"/>
  <c r="D4" i="4"/>
  <c r="E4" i="4" s="1"/>
  <c r="D7" i="4"/>
  <c r="E7" i="4" s="1"/>
  <c r="D3" i="4"/>
  <c r="E3" i="4" s="1"/>
  <c r="D6" i="4"/>
  <c r="E6" i="4" s="1"/>
  <c r="K9" i="6"/>
  <c r="K8" i="6"/>
  <c r="K6" i="6"/>
  <c r="K4" i="6"/>
  <c r="K2" i="6"/>
  <c r="B16" i="6"/>
  <c r="H6" i="6"/>
  <c r="H4" i="6"/>
  <c r="H2" i="6"/>
  <c r="B15" i="6"/>
  <c r="K7" i="6"/>
  <c r="K5" i="6"/>
  <c r="K3" i="6"/>
  <c r="B14" i="6"/>
  <c r="K10" i="6"/>
  <c r="H7" i="6"/>
  <c r="H5" i="6"/>
  <c r="H3" i="6"/>
  <c r="B14" i="4"/>
  <c r="B16" i="4"/>
  <c r="B15" i="4"/>
  <c r="K8" i="4"/>
  <c r="K4" i="4"/>
  <c r="K9" i="4"/>
  <c r="K5" i="4"/>
  <c r="K7" i="4"/>
  <c r="K3" i="4"/>
  <c r="K10" i="4"/>
  <c r="K6" i="4"/>
  <c r="K2" i="4"/>
  <c r="H4" i="4"/>
  <c r="H5" i="4"/>
  <c r="H7" i="4"/>
  <c r="H3" i="4"/>
  <c r="H6" i="4"/>
  <c r="C8" i="6" a="1"/>
  <c r="C5" i="6" a="1"/>
  <c r="C4" i="6" a="1"/>
  <c r="C7" i="6" a="1"/>
  <c r="C6" i="6" a="1"/>
  <c r="C3" i="6" a="1"/>
  <c r="C2" i="6" a="1"/>
  <c r="D18" i="19" l="1"/>
  <c r="N18" i="19"/>
  <c r="I18" i="18"/>
  <c r="O2" i="19"/>
  <c r="C18" i="19"/>
  <c r="O10" i="19"/>
  <c r="O3" i="19"/>
  <c r="O5" i="19"/>
  <c r="O8" i="19"/>
  <c r="O7" i="19"/>
  <c r="O16" i="18"/>
  <c r="J11" i="19"/>
  <c r="J21" i="19" s="1"/>
  <c r="N18" i="18"/>
  <c r="O6" i="18"/>
  <c r="O13" i="19"/>
  <c r="F18" i="19"/>
  <c r="O13" i="18"/>
  <c r="K11" i="19"/>
  <c r="O7" i="18"/>
  <c r="C11" i="19"/>
  <c r="C21" i="19" s="1"/>
  <c r="O8" i="18"/>
  <c r="O2" i="18"/>
  <c r="E18" i="19"/>
  <c r="O10" i="18"/>
  <c r="O9" i="18"/>
  <c r="G18" i="19"/>
  <c r="O4" i="19"/>
  <c r="L11" i="19"/>
  <c r="O17" i="19"/>
  <c r="O6" i="19"/>
  <c r="O16" i="19"/>
  <c r="O12" i="18"/>
  <c r="I11" i="19"/>
  <c r="L18" i="18"/>
  <c r="O3" i="18"/>
  <c r="L18" i="19"/>
  <c r="K18" i="18"/>
  <c r="O5" i="18"/>
  <c r="G18" i="18"/>
  <c r="H18" i="19"/>
  <c r="E18" i="18"/>
  <c r="M11" i="19"/>
  <c r="E11" i="19"/>
  <c r="O9" i="19"/>
  <c r="O15" i="18"/>
  <c r="M18" i="19"/>
  <c r="M21" i="19" s="1"/>
  <c r="O17" i="18"/>
  <c r="F11" i="19"/>
  <c r="H18" i="18"/>
  <c r="G11" i="19"/>
  <c r="G21" i="19" s="1"/>
  <c r="I18" i="19"/>
  <c r="N11" i="19"/>
  <c r="O15" i="19"/>
  <c r="O11" i="18"/>
  <c r="O4" i="18"/>
  <c r="O14" i="18"/>
  <c r="K18" i="19"/>
  <c r="K21" i="19" s="1"/>
  <c r="M18" i="18"/>
  <c r="H11" i="19"/>
  <c r="J18" i="18"/>
  <c r="O12" i="19"/>
  <c r="D18" i="18"/>
  <c r="D11" i="19"/>
  <c r="C18" i="18"/>
  <c r="O14" i="19"/>
  <c r="F18" i="18"/>
  <c r="O19" i="19"/>
  <c r="O20" i="19" s="1"/>
  <c r="D21" i="19"/>
  <c r="N21" i="19"/>
  <c r="B17" i="17"/>
  <c r="D9" i="17"/>
  <c r="H8" i="17"/>
  <c r="B17" i="6"/>
  <c r="K11" i="17"/>
  <c r="D9" i="16"/>
  <c r="H8" i="16"/>
  <c r="B17" i="16"/>
  <c r="K11" i="16"/>
  <c r="D9" i="15"/>
  <c r="B17" i="15"/>
  <c r="H8" i="15"/>
  <c r="K11" i="15"/>
  <c r="B17" i="13"/>
  <c r="H8" i="14"/>
  <c r="K11" i="14"/>
  <c r="D9" i="14"/>
  <c r="B17" i="14"/>
  <c r="D9" i="13"/>
  <c r="H8" i="13"/>
  <c r="K11" i="13"/>
  <c r="H8" i="12"/>
  <c r="B17" i="12"/>
  <c r="D9" i="12"/>
  <c r="K11" i="12"/>
  <c r="B17" i="11"/>
  <c r="D9" i="11"/>
  <c r="H8" i="11"/>
  <c r="K11" i="11"/>
  <c r="B17" i="9"/>
  <c r="D9" i="9"/>
  <c r="H8" i="9"/>
  <c r="K11" i="9"/>
  <c r="B17" i="8"/>
  <c r="D9" i="8"/>
  <c r="H8" i="8"/>
  <c r="K11" i="8"/>
  <c r="B17" i="7"/>
  <c r="D9" i="7"/>
  <c r="H8" i="7"/>
  <c r="K11" i="7"/>
  <c r="C2" i="6"/>
  <c r="E2" i="6" s="1"/>
  <c r="C4" i="6"/>
  <c r="E4" i="6" s="1"/>
  <c r="C5" i="6"/>
  <c r="E5" i="6" s="1"/>
  <c r="C8" i="6"/>
  <c r="E8" i="6" s="1"/>
  <c r="C3" i="6"/>
  <c r="E3" i="6" s="1"/>
  <c r="C6" i="6"/>
  <c r="E6" i="6" s="1"/>
  <c r="C7" i="6"/>
  <c r="E7" i="6" s="1"/>
  <c r="D9" i="6"/>
  <c r="D9" i="4"/>
  <c r="E9" i="4"/>
  <c r="H8" i="6"/>
  <c r="K11" i="6"/>
  <c r="B17" i="4"/>
  <c r="K11" i="4"/>
  <c r="H8" i="4"/>
  <c r="C2" i="7" a="1"/>
  <c r="C3" i="7" a="1"/>
  <c r="C5" i="7" a="1"/>
  <c r="C7" i="7" a="1"/>
  <c r="C8" i="7" a="1"/>
  <c r="C4" i="7" a="1"/>
  <c r="C6" i="7" a="1"/>
  <c r="E21" i="19" l="1"/>
  <c r="O18" i="18"/>
  <c r="H21" i="19"/>
  <c r="I21" i="19"/>
  <c r="O11" i="19"/>
  <c r="O18" i="19"/>
  <c r="L21" i="19"/>
  <c r="F21" i="19"/>
  <c r="O21" i="19"/>
  <c r="C3" i="7"/>
  <c r="E3" i="7" s="1"/>
  <c r="C2" i="7"/>
  <c r="E2" i="7" s="1"/>
  <c r="C8" i="7"/>
  <c r="E8" i="7" s="1"/>
  <c r="C6" i="7"/>
  <c r="E6" i="7" s="1"/>
  <c r="C7" i="7"/>
  <c r="E7" i="7" s="1"/>
  <c r="C5" i="7"/>
  <c r="E5" i="7" s="1"/>
  <c r="C4" i="7"/>
  <c r="E4" i="7" s="1"/>
  <c r="E9" i="6"/>
  <c r="C9" i="6"/>
  <c r="C3" i="8" a="1"/>
  <c r="C8" i="8" a="1"/>
  <c r="C2" i="8" a="1"/>
  <c r="C6" i="8" a="1"/>
  <c r="C7" i="8" a="1"/>
  <c r="C5" i="8" a="1"/>
  <c r="C4" i="8" a="1"/>
  <c r="C5" i="8" l="1"/>
  <c r="E5" i="8" s="1"/>
  <c r="C7" i="8"/>
  <c r="E7" i="8" s="1"/>
  <c r="C2" i="8"/>
  <c r="C3" i="8"/>
  <c r="E3" i="8" s="1"/>
  <c r="C6" i="8"/>
  <c r="E6" i="8" s="1"/>
  <c r="C4" i="8"/>
  <c r="E4" i="8" s="1"/>
  <c r="C8" i="8"/>
  <c r="E8" i="8" s="1"/>
  <c r="E9" i="7"/>
  <c r="C9" i="7"/>
  <c r="C4" i="9" a="1"/>
  <c r="C8" i="9" a="1"/>
  <c r="C6" i="9" a="1"/>
  <c r="C3" i="9" a="1"/>
  <c r="C5" i="9" a="1"/>
  <c r="C7" i="9" a="1"/>
  <c r="C3" i="9" l="1"/>
  <c r="E3" i="9" s="1"/>
  <c r="C8" i="9"/>
  <c r="E8" i="9" s="1"/>
  <c r="C4" i="9"/>
  <c r="E4" i="9" s="1"/>
  <c r="C7" i="9"/>
  <c r="E7" i="9" s="1"/>
  <c r="C6" i="9"/>
  <c r="E6" i="9" s="1"/>
  <c r="C5" i="9"/>
  <c r="E5" i="9" s="1"/>
  <c r="E2" i="8"/>
  <c r="C9" i="8"/>
  <c r="C8" i="11" a="1"/>
  <c r="C4" i="11" a="1"/>
  <c r="C2" i="9" a="1"/>
  <c r="C3" i="11" a="1"/>
  <c r="C6" i="11" a="1"/>
  <c r="C7" i="11" a="1"/>
  <c r="C5" i="11" a="1"/>
  <c r="C4" i="11" l="1"/>
  <c r="E4" i="11" s="1"/>
  <c r="C8" i="11"/>
  <c r="E8" i="11" s="1"/>
  <c r="C7" i="11"/>
  <c r="E7" i="11" s="1"/>
  <c r="C5" i="11"/>
  <c r="E5" i="11" s="1"/>
  <c r="C6" i="11"/>
  <c r="E6" i="11" s="1"/>
  <c r="C3" i="11"/>
  <c r="E3" i="11" s="1"/>
  <c r="C2" i="9"/>
  <c r="E9" i="8"/>
  <c r="C7" i="12" a="1"/>
  <c r="C5" i="12" a="1"/>
  <c r="C4" i="12" a="1"/>
  <c r="C3" i="12" a="1"/>
  <c r="C6" i="12" a="1"/>
  <c r="C8" i="12" a="1"/>
  <c r="C5" i="12" l="1"/>
  <c r="E5" i="12" s="1"/>
  <c r="C7" i="12"/>
  <c r="E7" i="12" s="1"/>
  <c r="C3" i="12"/>
  <c r="E3" i="12" s="1"/>
  <c r="C8" i="12"/>
  <c r="E8" i="12" s="1"/>
  <c r="C6" i="12"/>
  <c r="E6" i="12" s="1"/>
  <c r="C4" i="12"/>
  <c r="E4" i="12" s="1"/>
  <c r="E2" i="9"/>
  <c r="C9" i="9"/>
  <c r="C3" i="13" a="1"/>
  <c r="C8" i="13" a="1"/>
  <c r="C4" i="13" a="1"/>
  <c r="C2" i="11" a="1"/>
  <c r="C5" i="13" a="1"/>
  <c r="C7" i="13" a="1"/>
  <c r="C6" i="13" a="1"/>
  <c r="C8" i="13" l="1"/>
  <c r="E8" i="13" s="1"/>
  <c r="C3" i="13"/>
  <c r="E3" i="13" s="1"/>
  <c r="C7" i="13"/>
  <c r="E7" i="13" s="1"/>
  <c r="C4" i="13"/>
  <c r="E4" i="13" s="1"/>
  <c r="C6" i="13"/>
  <c r="E6" i="13" s="1"/>
  <c r="C5" i="13"/>
  <c r="E5" i="13" s="1"/>
  <c r="C2" i="11"/>
  <c r="E9" i="9"/>
  <c r="C4" i="14" a="1"/>
  <c r="C7" i="14" a="1"/>
  <c r="C6" i="14" a="1"/>
  <c r="C5" i="14" a="1"/>
  <c r="C3" i="14" a="1"/>
  <c r="C8" i="14" a="1"/>
  <c r="C7" i="14" l="1"/>
  <c r="E7" i="14" s="1"/>
  <c r="C4" i="14"/>
  <c r="E4" i="14" s="1"/>
  <c r="C5" i="14"/>
  <c r="E5" i="14" s="1"/>
  <c r="C3" i="14"/>
  <c r="E3" i="14" s="1"/>
  <c r="C6" i="14"/>
  <c r="E6" i="14" s="1"/>
  <c r="C8" i="14"/>
  <c r="E8" i="14" s="1"/>
  <c r="C9" i="11"/>
  <c r="E2" i="11"/>
  <c r="C5" i="15" a="1"/>
  <c r="C6" i="15" a="1"/>
  <c r="C8" i="15" a="1"/>
  <c r="C3" i="15" a="1"/>
  <c r="C2" i="12" a="1"/>
  <c r="C7" i="15" a="1"/>
  <c r="C4" i="15" a="1"/>
  <c r="C3" i="15" l="1"/>
  <c r="E3" i="15" s="1"/>
  <c r="C5" i="15"/>
  <c r="E5" i="15" s="1"/>
  <c r="C8" i="15"/>
  <c r="E8" i="15" s="1"/>
  <c r="C4" i="15"/>
  <c r="E4" i="15" s="1"/>
  <c r="C6" i="15"/>
  <c r="E6" i="15" s="1"/>
  <c r="C7" i="15"/>
  <c r="E7" i="15" s="1"/>
  <c r="C2" i="12"/>
  <c r="E9" i="11"/>
  <c r="C5" i="16" a="1"/>
  <c r="C6" i="16" a="1"/>
  <c r="C7" i="16" a="1"/>
  <c r="C8" i="16" a="1"/>
  <c r="C4" i="16" a="1"/>
  <c r="C3" i="16" a="1"/>
  <c r="C7" i="16" l="1"/>
  <c r="E7" i="16" s="1"/>
  <c r="C5" i="16"/>
  <c r="E5" i="16" s="1"/>
  <c r="C4" i="16"/>
  <c r="E4" i="16" s="1"/>
  <c r="C8" i="16"/>
  <c r="E8" i="16" s="1"/>
  <c r="C6" i="16"/>
  <c r="E6" i="16" s="1"/>
  <c r="C3" i="16"/>
  <c r="E3" i="16" s="1"/>
  <c r="C9" i="12"/>
  <c r="E2" i="12"/>
  <c r="C4" i="17" a="1"/>
  <c r="C2" i="13" a="1"/>
  <c r="C8" i="17" a="1"/>
  <c r="C5" i="17" a="1"/>
  <c r="C7" i="17" a="1"/>
  <c r="C6" i="17" a="1"/>
  <c r="C3" i="17" a="1"/>
  <c r="C8" i="17" l="1"/>
  <c r="E8" i="17" s="1"/>
  <c r="C4" i="17"/>
  <c r="E4" i="17" s="1"/>
  <c r="C3" i="17"/>
  <c r="E3" i="17" s="1"/>
  <c r="C5" i="17"/>
  <c r="E5" i="17" s="1"/>
  <c r="C6" i="17"/>
  <c r="E6" i="17" s="1"/>
  <c r="C7" i="17"/>
  <c r="E7" i="17" s="1"/>
  <c r="C2" i="13"/>
  <c r="E9" i="12"/>
  <c r="E2" i="13" l="1"/>
  <c r="C9" i="13"/>
  <c r="C2" i="14" a="1"/>
  <c r="C2" i="14" l="1"/>
  <c r="E9" i="13"/>
  <c r="E2" i="14" l="1"/>
  <c r="C9" i="14"/>
  <c r="C2" i="15" a="1"/>
  <c r="C2" i="15" l="1"/>
  <c r="E9" i="14"/>
  <c r="E2" i="15" l="1"/>
  <c r="C9" i="15"/>
  <c r="C2" i="16" a="1"/>
  <c r="C2" i="16" l="1"/>
  <c r="E9" i="15"/>
  <c r="C9" i="16" l="1"/>
  <c r="E2" i="16"/>
  <c r="C2" i="17" a="1"/>
  <c r="C2" i="17" l="1"/>
  <c r="E9" i="16"/>
  <c r="E2" i="17" l="1"/>
  <c r="E9" i="17" s="1"/>
  <c r="C9" i="1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<sst xmlns="http://schemas.openxmlformats.org/spreadsheetml/2006/main" count="1404" uniqueCount="55">
  <si>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</si>
  <si>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</si>
  <si>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</si>
  <si>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</si>
  <si>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</si>
  <si>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</si>
  <si>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</si>
  <si>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</si>
  <si>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</si>
  <si>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</si>
  <si>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</si>
  <si>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</si>
  <si>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</si>
  <si>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</si>
  <si>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</si>
  <si>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</si>
  <si>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</si>
  <si>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</si>
  <si>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</si>
  <si>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</si>
  <si>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</si>
  <si>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</si>
  <si>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</si>
  <si>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</si>
  <si>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</si>
  <si>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</si>
  <si>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</si>
  <si>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</si>
  <si>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</si>
  <si>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</si>
  <si>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</si>
  <si>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</si>
  <si>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</si>
  <si>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</si>
  <si>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Opening balance</t>
  </si>
  <si>
    <t>Operations</t>
  </si>
  <si>
    <t>Closing balance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</si>
  <si>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</si>
  <si>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</si>
  <si>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</si>
  <si>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</si>
  <si>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</si>
  <si>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</si>
  <si>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</si>
  <si>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</si>
  <si>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</si>
  <si>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</si>
  <si>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</si>
  <si>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</si>
  <si>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</si>
  <si>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Total</t>
  </si>
  <si>
    <t>Income Total</t>
  </si>
  <si>
    <t>Transfer Total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</si>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</sst>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44" formatCode="_-* #,##0.00\ &quot;zł&quot;_-;\-* #,##0.00\ &quot;zł&quot;_-;_-* &quot;-&quot;??\ &quot;zł&quot;_-;_-@_-"/>
    <numFmt numFmtId="164" formatCode="_(&quot;$&quot;* #,##0.00_);_(&quot;$&quot;* \(#,##0.00\);_(&quot;$&quot;* &quot;-&quot;??_);_(@_)"/>
    <numFmt numFmtId="165" formatCode="_-* #,##0.00\ [$zł-415]_-;\-* #,##0.00\ [$zł-415]_-;_-* &quot;-&quot;??\ [$zł-415]_-;_-@_-"/>
    <numFmt numFmtId="166" formatCode="m/d/yyyy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5" fontId="0" fillId="0" borderId="0" xfId="0" applyNumberFormat="1"/>
    <xf numFmtId="165" fontId="0" fillId="0" borderId="0" xfId="1" applyNumberFormat="1" applyFont="1"/>
    <xf numFmtId="165" fontId="0" fillId="2" borderId="8" xfId="0" applyNumberFormat="1" applyFill="1" applyBorder="1"/>
    <xf numFmtId="165" fontId="0" fillId="0" borderId="8" xfId="0" applyNumberFormat="1" applyBorder="1"/>
    <xf numFmtId="165" fontId="4" fillId="0" borderId="0" xfId="0" applyNumberFormat="1" applyFont="1"/>
    <xf numFmtId="0" fontId="4" fillId="0" borderId="0" xfId="0" applyFont="1"/>
    <xf numFmtId="0" fontId="0" fillId="0" borderId="0" xfId="0" pivotButton="1"/>
    <xf numFmtId="44" fontId="0" fillId="0" borderId="0" xfId="0" applyNumberFormat="1"/>
    <xf numFmtId="166" fontId="1" fillId="0" borderId="0" xfId="0" applyNumberFormat="1" applyFont="1"/>
    <xf numFmtId="0" fontId="1" fillId="0" borderId="0" xfId="0" applyNumberFormat="1" applyFont="1"/>
  </cellXfs>
  <cellStyles count="2">
    <cellStyle name="Currency" xfId="1" builtinId="4"/>
    <cellStyle name="Normal" xfId="0" builtinId="0"/>
  </cellStyles>
  <dxfs count="220"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 Abuhasna" refreshedDate="45999.603245370374" createdVersion="8" refreshedVersion="8" minRefreshableVersion="3" recordCount="207" xr:uid="{BF589380-FDB4-4A49-99D6-918D9D2299FB}">
  <cacheSource type="worksheet">
    <worksheetSource name="Operations"/>
  </cacheSource>
  <cacheFields count="7">
    <cacheField name="Amount" numFmtId="8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0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ECDAE-9C2A-43E8-ABF4-2C626A2912E5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24" firstHeaderRow="1" firstDataRow="2" firstDataCol="2"/>
  <pivotFields count="7">
    <pivotField dataField="1" compact="0" numFmtId="8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20">
    <i>
      <x/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 t="default">
      <x/>
    </i>
    <i>
      <x v="1"/>
      <x v="1"/>
    </i>
    <i r="1">
      <x v="4"/>
    </i>
    <i r="1">
      <x v="5"/>
    </i>
    <i r="1">
      <x v="10"/>
    </i>
    <i r="1">
      <x v="11"/>
    </i>
    <i r="1">
      <x v="12"/>
    </i>
    <i t="default">
      <x v="1"/>
    </i>
    <i>
      <x v="2"/>
      <x v="14"/>
    </i>
    <i t="default">
      <x v="2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0" baseField="0" baseItem="0" numFmtId="44"/>
  </dataFields>
  <formats count="1">
    <format dxfId="8">
      <pivotArea outline="0" collapsedLevelsAreSubtotals="1" fieldPosition="0"/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8" totalsRowShown="0" headerRowDxfId="219" dataDxfId="218">
  <autoFilter ref="A1:G208" xr:uid="{77EA216C-FFD9-4A05-BF08-B832A43E3520}"/>
  <tableColumns count="7">
    <tableColumn id="1" xr3:uid="{68ACE8F2-D3B7-4A07-A81C-AF60D2DE6312}" name="Amount" dataDxfId="217"/>
    <tableColumn id="2" xr3:uid="{7254576B-CAD8-4BF8-91A7-FCE7DBDF3336}" name="Bank" dataDxfId="216"/>
    <tableColumn id="3" xr3:uid="{B4A67B35-2B8C-48AF-AB70-F7C5686F9E6F}" name="Product" dataDxfId="215"/>
    <tableColumn id="4" xr3:uid="{0AA0F34C-1B3B-40BD-A2ED-C43E9ACECCE2}" name="Category" dataDxfId="214"/>
    <tableColumn id="5" xr3:uid="{B0DC3548-A9AA-420A-8564-5F10AFE241CF}" name="Type" dataDxfId="213">
      <calculatedColumnFormula>_xlfn.XLOOKUP(Operations[[#This Row],[Category]],Categories[Category],Categories[Type],"",0,1)</calculatedColumnFormula>
    </tableColumn>
    <tableColumn id="6" xr3:uid="{2C72B247-1CFD-44D6-BDA9-F9D0BB401FA1}" name="Date" dataDxfId="212"/>
    <tableColumn id="7" xr3:uid="{4E65CCC6-D609-484D-A68A-DC8E888AFEE9}" name="Month" dataDxfId="211">
      <calculatedColumnFormula>MONTH(Operations[[#This Row],[Date]])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210"/>
    <tableColumn id="2" xr3:uid="{0EA9F851-FCD1-470B-9F83-640CF24D733D}" name="Typ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A4D65-F7F8-4FF8-B48C-2B158C3B31C6}" name="Products" displayName="Products" ref="D1:E8" totalsRowShown="0" headerRowDxfId="209" headerRowBorderDxfId="208" tableBorderDxfId="207" totalsRowBorderDxfId="206">
  <autoFilter ref="D1:E8" xr:uid="{450A4D65-F7F8-4FF8-B48C-2B158C3B31C6}"/>
  <tableColumns count="2">
    <tableColumn id="1" xr3:uid="{938E7DBC-A5D8-4A0A-81BC-7FBA960E15FF}" name="Bank" dataDxfId="205"/>
    <tableColumn id="2" xr3:uid="{78EC58BA-0ADB-4548-A7D8-AA9F748E476D}" name="Product" dataDxfId="20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58491F-5582-4887-84B6-54ED41AFB6FC}" name="summary1" displayName="summary1" ref="A1:O18" totalsRowCount="1">
  <autoFilter ref="A1:O17" xr:uid="{5558491F-5582-4887-84B6-54ED41AFB6FC}"/>
  <tableColumns count="15">
    <tableColumn id="1" xr3:uid="{6810D9C3-FC2D-458F-89E6-DD6A9E79285C}" name="Category" totalsRowLabel="Total"/>
    <tableColumn id="2" xr3:uid="{7A78B995-CC2E-49B1-9226-9FE39A7361EB}" name="Type"/>
    <tableColumn id="3" xr3:uid="{0B4A44C3-048F-4539-A043-3B4C54192594}" name="1" totalsRowFunction="sum" dataDxfId="59" totalsRowDxfId="47">
      <calculatedColumnFormula array="1">SUMIFS(Operations[[Amount]:[Amount]],Operations[[Category]:[Category]],summary1[[#This Row],[Category]:[Category]],Operations[[Month]:[Month]],summary1[[#Headers],[1]])</calculatedColumnFormula>
    </tableColumn>
    <tableColumn id="4" xr3:uid="{4C52FD1A-6A79-42A4-9F81-7CCAABF03F31}" name="2" totalsRowFunction="sum" dataDxfId="57" totalsRowDxfId="46">
      <calculatedColumnFormula array="1">SUMIFS(Operations[[Amount]:[Amount]],Operations[[Category]:[Category]],summary1[[#This Row],[Category]:[Category]],Operations[[Month]:[Month]],summary1[[#Headers],[2]])</calculatedColumnFormula>
    </tableColumn>
    <tableColumn id="5" xr3:uid="{1C086788-DAE2-486A-8B73-30B36E0F50FF}" name="3" totalsRowFunction="sum" dataDxfId="56" totalsRowDxfId="45">
      <calculatedColumnFormula array="1">SUMIFS(Operations[[Amount]:[Amount]],Operations[[Category]:[Category]],summary1[[#This Row],[Category]:[Category]],Operations[[Month]:[Month]],summary1[[#Headers],[3]])</calculatedColumnFormula>
    </tableColumn>
    <tableColumn id="6" xr3:uid="{AC4357EC-D634-4207-8311-EF51545031C7}" name="4" totalsRowFunction="sum" dataDxfId="55" totalsRowDxfId="44">
      <calculatedColumnFormula array="1">SUMIFS(Operations[[Amount]:[Amount]],Operations[[Category]:[Category]],summary1[[#This Row],[Category]:[Category]],Operations[[Month]:[Month]],summary1[[#Headers],[4]])</calculatedColumnFormula>
    </tableColumn>
    <tableColumn id="7" xr3:uid="{B1E20F98-AD72-448E-928F-38430025D485}" name="5" totalsRowFunction="sum" dataDxfId="54" totalsRowDxfId="43">
      <calculatedColumnFormula array="1">SUMIFS(Operations[[Amount]:[Amount]],Operations[[Category]:[Category]],summary1[[#This Row],[Category]:[Category]],Operations[[Month]:[Month]],summary1[[#Headers],[5]])</calculatedColumnFormula>
    </tableColumn>
    <tableColumn id="8" xr3:uid="{2B98DD68-42B0-47C4-B6E4-19FD5F663FAD}" name="6" totalsRowFunction="sum" dataDxfId="53" totalsRowDxfId="42">
      <calculatedColumnFormula array="1">SUMIFS(Operations[[Amount]:[Amount]],Operations[[Category]:[Category]],summary1[[#This Row],[Category]:[Category]],Operations[[Month]:[Month]],summary1[[#Headers],[6]])</calculatedColumnFormula>
    </tableColumn>
    <tableColumn id="9" xr3:uid="{38E46D30-9486-46D5-AF5A-2551C7157CB0}" name="7" totalsRowFunction="sum" dataDxfId="52" totalsRowDxfId="41">
      <calculatedColumnFormula array="1">SUMIFS(Operations[[Amount]:[Amount]],Operations[[Category]:[Category]],summary1[[#This Row],[Category]:[Category]],Operations[[Month]:[Month]],summary1[[#Headers],[7]])</calculatedColumnFormula>
    </tableColumn>
    <tableColumn id="10" xr3:uid="{0658FAB4-4F9D-47C3-AAA3-040F188C1D14}" name="8" totalsRowFunction="sum" dataDxfId="51" totalsRowDxfId="40">
      <calculatedColumnFormula array="1">SUMIFS(Operations[[Amount]:[Amount]],Operations[[Category]:[Category]],summary1[[#This Row],[Category]:[Category]],Operations[[Month]:[Month]],summary1[[#Headers],[8]])</calculatedColumnFormula>
    </tableColumn>
    <tableColumn id="11" xr3:uid="{E0275903-BEF8-4F06-974B-1783D4173F34}" name="9" totalsRowFunction="sum" dataDxfId="50" totalsRowDxfId="39">
      <calculatedColumnFormula array="1">SUMIFS(Operations[[Amount]:[Amount]],Operations[[Category]:[Category]],summary1[[#This Row],[Category]:[Category]],Operations[[Month]:[Month]],summary1[[#Headers],[9]])</calculatedColumnFormula>
    </tableColumn>
    <tableColumn id="12" xr3:uid="{3BD1D012-6B82-4C99-8D88-2A35244E56FF}" name="10" totalsRowFunction="sum" dataDxfId="49" totalsRowDxfId="38">
      <calculatedColumnFormula array="1">SUMIFS(Operations[[Amount]:[Amount]],Operations[[Category]:[Category]],summary1[[#This Row],[Category]:[Category]],Operations[[Month]:[Month]],summary1[[#Headers],[10]])</calculatedColumnFormula>
    </tableColumn>
    <tableColumn id="13" xr3:uid="{E6536805-4A06-48FA-8B32-30E17865F8A1}" name="11" totalsRowFunction="sum" dataDxfId="48" totalsRowDxfId="37">
      <calculatedColumnFormula array="1">SUMIFS(Operations[[Amount]:[Amount]],Operations[[Category]:[Category]],summary1[[#This Row],[Category]:[Category]],Operations[[Month]:[Month]],summary1[[#Headers],[11]])</calculatedColumnFormula>
    </tableColumn>
    <tableColumn id="14" xr3:uid="{E199EC52-D3F3-4461-B2BD-B0AD22392FCD}" name="12" totalsRowFunction="sum" dataDxfId="34" totalsRowDxfId="36">
      <calculatedColumnFormula array="1">SUMIFS(Operations[[Amount]:[Amount]],Operations[[Category]:[Category]],summary1[[#This Row],[Category]:[Category]],Operations[[Month]:[Month]],summary1[[#Headers],[12]])</calculatedColumnFormula>
    </tableColumn>
    <tableColumn id="15" xr3:uid="{25F25C92-697C-4A57-9D4D-5E619C9F6569}" name="Total" totalsRowFunction="sum" dataDxfId="58" totalsRowDxfId="35">
      <calculatedColumnFormula>SUM(summary1[[#This Row],[1]:[12]])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5D935A-DC3F-4722-8868-ADC9E196ABEA}" name="summary2" displayName="summary2" ref="A1:O21" totalsRowShown="0">
  <autoFilter ref="A1:O21" xr:uid="{955D935A-DC3F-4722-8868-ADC9E196ABEA}"/>
  <tableColumns count="15">
    <tableColumn id="1" xr3:uid="{C2BF904A-17CC-4959-BB74-408E1E26B160}" name="Category"/>
    <tableColumn id="2" xr3:uid="{6A79655C-CFFF-4E0B-B923-9F3737E4F122}" name="Type" dataDxfId="33"/>
    <tableColumn id="3" xr3:uid="{7BE8A2E2-245E-4732-A509-AB4FF7A18DB7}" name="1" dataDxfId="32"/>
    <tableColumn id="4" xr3:uid="{AE3435D5-6D3A-47B7-BC0A-A9BE045D444D}" name="2" dataDxfId="31"/>
    <tableColumn id="5" xr3:uid="{569BFAD4-D219-4AC9-9A4A-87D6049B0D2A}" name="3" dataDxfId="30"/>
    <tableColumn id="6" xr3:uid="{9C7B5323-3D7E-46DE-BEB6-713F7AB833C1}" name="4" dataDxfId="29"/>
    <tableColumn id="7" xr3:uid="{AD9B5573-008B-4F07-B19A-82FD4A35F299}" name="5" dataDxfId="28"/>
    <tableColumn id="8" xr3:uid="{EA9C60C4-51ED-4565-A8F4-19B47B992E13}" name="6" dataDxfId="27"/>
    <tableColumn id="9" xr3:uid="{CB6230D4-D36B-45DA-A3D6-E61DD5F95057}" name="7" dataDxfId="26"/>
    <tableColumn id="10" xr3:uid="{ADBF67D8-2342-40FF-B9A3-51182AE708D1}" name="8" dataDxfId="25"/>
    <tableColumn id="11" xr3:uid="{F95354C5-C41D-4340-8BA4-16AC051DEBE5}" name="9" dataDxfId="24"/>
    <tableColumn id="12" xr3:uid="{787372AF-1B4D-4FDD-B798-15EAD0DE10B3}" name="10" dataDxfId="23"/>
    <tableColumn id="13" xr3:uid="{8D2A7171-B058-48B1-933D-39DE1642EB8E}" name="11" dataDxfId="22"/>
    <tableColumn id="14" xr3:uid="{46E96E05-7AB3-4B35-BEAB-5D4BC740B8F2}" name="12" dataDxfId="21"/>
    <tableColumn id="15" xr3:uid="{2DE6FE77-616F-481A-9975-46B8AA8B4058}" name="Total" dataDxfId="20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562A9-F9E2-4C9C-8D95-0E17986C0E65}" name="flow_1" displayName="flow_1" ref="A1:E9" totalsRowCount="1">
  <autoFilter ref="A1:E8" xr:uid="{80D562A9-F9E2-4C9C-8D95-0E17986C0E65}"/>
  <tableColumns count="5">
    <tableColumn id="1" xr3:uid="{D69FBA30-DFFB-446B-9FBF-5E97BD78C3CA}" name="Bank" totalsRowLabel="Total"/>
    <tableColumn id="2" xr3:uid="{4683521F-7DEE-497A-9B88-34F8B726F150}" name="Product"/>
    <tableColumn id="3" xr3:uid="{4F23046C-5622-41AD-81B8-18016673E8E8}" name="Opening balance" totalsRowFunction="sum" dataDxfId="203" totalsRowDxfId="202"/>
    <tableColumn id="4" xr3:uid="{C1B3318E-CBE3-48C8-AA19-1D458810CFC5}" name="Operations" totalsRowFunction="sum" dataDxfId="201" totalsRowDxfId="200">
      <calculatedColumnFormula>SUMIFS(Operations[Amount],Operations[Bank],flow_1[[#This Row],[Bank]],Operations[Product],flow_1[[#This Row],[Product]],Operations[Month],$B$11)</calculatedColumnFormula>
    </tableColumn>
    <tableColumn id="5" xr3:uid="{23D916BA-B9F7-4FE5-B539-BF9537320EB0}" name="Closing balance" totalsRowFunction="sum" dataDxfId="199" totalsRowDxfId="198">
      <calculatedColumnFormula>flow_1[[#This Row],[Opening balance]]+flow_1[[#This Row],[Operations]]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2DEC7-0B78-40C8-9252-1A8D002EAA83}" name="incomes_1" displayName="incomes_1" ref="G1:H8" totalsRowCount="1">
  <autoFilter ref="G1:H7" xr:uid="{1712DEC7-0B78-40C8-9252-1A8D002EAA83}"/>
  <tableColumns count="2">
    <tableColumn id="1" xr3:uid="{701BD3B4-A0BA-4F4F-9E33-437719A8152A}" name="Category" totalsRowLabel="Total"/>
    <tableColumn id="2" xr3:uid="{8D81C15E-B2D3-45AC-86B7-7DD90C29BF82}" name="Total" totalsRowFunction="sum" dataDxfId="197" totalsRowDxfId="196" totalsRowCellStyle="Currency">
      <calculatedColumnFormula>SUMIFS(Operations[Amount],Operations[Month],$B$11,Operations[Category],incomes_1[[#This Row],[Category]])</calculatedColumnFormula>
    </tableColumn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93199-784C-4C78-92FB-D97117058C0A}" name="expenses_1" displayName="expenses_1" ref="J1:K11" totalsRowCount="1">
  <autoFilter ref="J1:K10" xr:uid="{B8993199-784C-4C78-92FB-D97117058C0A}"/>
  <tableColumns count="2">
    <tableColumn id="1" xr3:uid="{FB22EFEF-B864-4BB5-A3AA-4B16464AE00F}" name="Category" totalsRowLabel="Total"/>
    <tableColumn id="2" xr3:uid="{4442B4E8-F5FC-41A7-869D-7C8BC7B99260}" name="Total" totalsRowFunction="sum" dataDxfId="195" totalsRowDxfId="194">
      <calculatedColumnFormula>SUMIFS(Operations[Amount],Operations[Month],$B$11,Operations[Category],expenses_1[[#This Row],[Category]])</calculatedColumnFormula>
    </tableColumn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2A086C-440E-4F23-8427-E1F30198C746}" name="balance_1" displayName="balance_1" ref="A13:B17" totalsRowCount="1">
  <autoFilter ref="A13:B16" xr:uid="{EF2A086C-440E-4F23-8427-E1F30198C746}"/>
  <tableColumns count="2">
    <tableColumn id="1" xr3:uid="{CB116638-9A15-44A9-9ED2-A8362C2CFA9E}" name="Type" totalsRowLabel="Total"/>
    <tableColumn id="2" xr3:uid="{C15C2FC0-F6B4-4A2E-8189-AF6137DAEAE1}" name="Total" totalsRowFunction="sum" dataDxfId="193" totalsRowDxfId="192">
      <calculatedColumnFormula>SUMIFS(Operations[Amount],Operations[Month],$B$11,Operations[Type],balance_1[[#This Row],[Type]])</calculatedColumnFormula>
    </tableColumn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A9BB09-4B8B-4D5E-8447-3B0E491B53B0}" name="flow_2" displayName="flow_2" ref="A1:E9" totalsRowCount="1">
  <autoFilter ref="A1:E8" xr:uid="{80D562A9-F9E2-4C9C-8D95-0E17986C0E65}"/>
  <tableColumns count="5">
    <tableColumn id="1" xr3:uid="{056CD53E-C071-4E12-AF2C-16FF0AC68751}" name="Bank" totalsRowLabel="Total"/>
    <tableColumn id="2" xr3:uid="{BF790AA7-4A29-4E7F-93CB-0BE9448856FE}" name="Product"/>
    <tableColumn id="3" xr3:uid="{9931E8D2-4C89-46BA-B8C7-45BE42FAEA83}" name="Opening balance" totalsRowFunction="sum" dataDxfId="191" totalsRowDxfId="190">
      <calculatedColumnFormula array="1">INDIRECT("flow_"&amp;$B$11-1&amp;"[@[Closing balance]]")</calculatedColumnFormula>
    </tableColumn>
    <tableColumn id="4" xr3:uid="{47B2E9C8-000D-427E-91D0-50D018FBF9DB}" name="Operations" totalsRowFunction="sum" dataDxfId="189" totalsRowDxfId="188">
      <calculatedColumnFormula>SUMIFS(Operations[Amount],Operations[Bank],flow_2[[#This Row],[Bank]],Operations[Product],flow_2[[#This Row],[Product]],Operations[Month],$B$11)</calculatedColumnFormula>
    </tableColumn>
    <tableColumn id="5" xr3:uid="{D2C356CE-99D1-42E4-99DD-E63436BA83A5}" name="Closing balance" totalsRowFunction="sum" dataDxfId="187" totalsRowDxfId="186">
      <calculatedColumnFormula>flow_2[[#This Row],[Opening balance]]+flow_2[[#This Row],[Operations]]</calculatedColumnFormula>
    </tableColumn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02DFCD-F327-4B26-85B4-A9074CD0B58C}" name="incomes_2" displayName="incomes_2" ref="G1:H8" totalsRowCount="1">
  <autoFilter ref="G1:H7" xr:uid="{1712DEC7-0B78-40C8-9252-1A8D002EAA83}"/>
  <tableColumns count="2">
    <tableColumn id="1" xr3:uid="{6EF46D3D-43F3-4E9A-81CB-03AEC370E6C9}" name="Category" totalsRowLabel="Total"/>
    <tableColumn id="2" xr3:uid="{D43BF634-2099-4F51-A94A-A27AB702DB5D}" name="Total" totalsRowFunction="sum" dataDxfId="185" totalsRowDxfId="184" totalsRowCellStyle="Currency">
      <calculatedColumnFormula>SUMIFS(Operations[Amount],Operations[Month],$B$11,Operations[Category],incomes_2[[#This Row],[Category]])</calculatedColumnFormula>
    </tableColumn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5A2A3A-3732-489D-B1C4-3A10A13CFCDF}" name="expenses_2" displayName="expenses_2" ref="J1:K11" totalsRowCount="1">
  <autoFilter ref="J1:K10" xr:uid="{B8993199-784C-4C78-92FB-D97117058C0A}"/>
  <tableColumns count="2">
    <tableColumn id="1" xr3:uid="{2044DE9F-63F0-41DD-A19F-A8DFC4647D63}" name="Category" totalsRowLabel="Total"/>
    <tableColumn id="2" xr3:uid="{866C58C5-4E6B-413E-804A-8C6277B235E8}" name="Total" totalsRowFunction="sum" dataDxfId="183" totalsRowDxfId="182">
      <calculatedColumnFormula>SUMIFS(Operations[Amount],Operations[Month],$B$11,Operations[Category],expenses_2[[#This Row],[Category]])</calculatedColumnFormula>
    </tableColumn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53849D-D05A-44DD-A40E-F3D5A8F83BDD}" name="balance_2" displayName="balance_2" ref="A13:B17" totalsRowCount="1">
  <autoFilter ref="A13:B16" xr:uid="{EF2A086C-440E-4F23-8427-E1F30198C746}"/>
  <tableColumns count="2">
    <tableColumn id="1" xr3:uid="{B6788979-A3D5-421E-B572-DFCFDD7EEC2D}" name="Type" totalsRowLabel="Total"/>
    <tableColumn id="2" xr3:uid="{19E425F4-4A82-461E-935C-2A17C06D89CA}" name="Total" totalsRowFunction="sum" dataDxfId="181" totalsRowDxfId="180">
      <calculatedColumnFormula>SUMIFS(Operations[Amount],Operations[Month],$B$11,Operations[Type],balance_2[[#This Row],[Type]])</calculatedColumnFormula>
    </tableColumn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3ACE7A-1242-473A-96DD-619D46C4554F}" name="flow_3" displayName="flow_3" ref="A1:E9" totalsRowCount="1">
  <autoFilter ref="A1:E8" xr:uid="{80D562A9-F9E2-4C9C-8D95-0E17986C0E65}"/>
  <tableColumns count="5">
    <tableColumn id="1" xr3:uid="{EB80E696-88B5-4403-ADFB-58F583CCF4DB}" name="Bank" totalsRowLabel="Total"/>
    <tableColumn id="2" xr3:uid="{ECA3075A-A501-4F36-8956-AC3A3F866E59}" name="Product"/>
    <tableColumn id="3" xr3:uid="{0855BB5D-6FFE-4316-BF6E-781EEF39BEE2}" name="Opening balance" totalsRowFunction="sum" dataDxfId="179" totalsRowDxfId="178">
      <calculatedColumnFormula array="1">INDIRECT("flow_"&amp;$B$11-1&amp;"[@[Closing balance]]")</calculatedColumnFormula>
    </tableColumn>
    <tableColumn id="4" xr3:uid="{4739C559-E5D2-47F5-A403-F5206F63E1DA}" name="Operations" totalsRowFunction="sum" dataDxfId="177" totalsRowDxfId="176">
      <calculatedColumnFormula>SUMIFS(Operations[Amount],Operations[Bank],flow_3[[#This Row],[Bank]],Operations[Product],flow_3[[#This Row],[Product]],Operations[Month],$B$11)</calculatedColumnFormula>
    </tableColumn>
    <tableColumn id="5" xr3:uid="{40F22937-E5CC-49E9-B4F7-70FB5039587B}" name="Closing balance" totalsRowFunction="sum" dataDxfId="175" totalsRowDxfId="174">
      <calculatedColumnFormula>flow_3[[#This Row],[Opening balance]]+flow_3[[#This Row],[Operations]]</calculatedColumnFormula>
    </tableColumn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3655AEA-CE2B-4336-822B-CB6E6DE4FE3A}" name="incomes_3" displayName="incomes_3" ref="G1:H8" totalsRowCount="1">
  <autoFilter ref="G1:H7" xr:uid="{1712DEC7-0B78-40C8-9252-1A8D002EAA83}"/>
  <tableColumns count="2">
    <tableColumn id="1" xr3:uid="{FD4D4664-6715-469C-9D3B-CB3E9442BC9B}" name="Category" totalsRowLabel="Total"/>
    <tableColumn id="2" xr3:uid="{EB266871-E2CE-43EA-A976-2EC9B30E8C61}" name="Total" totalsRowFunction="sum" dataDxfId="173" totalsRowDxfId="172" totalsRowCellStyle="Currency">
      <calculatedColumnFormula>SUMIFS(Operations[Amount],Operations[Month],$B$11,Operations[Category],incomes_3[[#This Row],[Category]])</calculatedColumnFormula>
    </tableColumn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412AF6-CF2B-4B13-A1F4-05AF180F3305}" name="expenses_3" displayName="expenses_3" ref="J1:K11" totalsRowCount="1">
  <autoFilter ref="J1:K10" xr:uid="{B8993199-784C-4C78-92FB-D97117058C0A}"/>
  <tableColumns count="2">
    <tableColumn id="1" xr3:uid="{750CEC4D-51EE-4604-B172-9B2FA77C4EE8}" name="Category" totalsRowLabel="Total"/>
    <tableColumn id="2" xr3:uid="{7BCCBB08-4971-4D21-B751-F173B237042A}" name="Total" totalsRowFunction="sum" dataDxfId="171" totalsRowDxfId="170">
      <calculatedColumnFormula>SUMIFS(Operations[Amount],Operations[Month],$B$11,Operations[Category],expenses_3[[#This Row],[Category]])</calculatedColumnFormula>
    </tableColumn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CF26482-7663-4AAB-9E50-869E1C0219EE}" name="balance_3" displayName="balance_3" ref="A13:B17" totalsRowCount="1">
  <autoFilter ref="A13:B16" xr:uid="{EF2A086C-440E-4F23-8427-E1F30198C746}"/>
  <tableColumns count="2">
    <tableColumn id="1" xr3:uid="{42DC2799-8410-45AB-B1CA-A97E03FC7615}" name="Type" totalsRowLabel="Total"/>
    <tableColumn id="2" xr3:uid="{F0A3A0C2-6E8E-4EC9-A32C-1F1946A04EFB}" name="Total" totalsRowFunction="sum" dataDxfId="169" totalsRowDxfId="168">
      <calculatedColumnFormula>SUMIFS(Operations[Amount],Operations[Month],$B$11,Operations[Type],balance_3[[#This Row],[Type]])</calculatedColumnFormula>
    </tableColumn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A3E9774-C501-4983-B08D-57E5FC4BBFBF}" name="flow_4" displayName="flow_4" ref="A1:E9" totalsRowCount="1">
  <autoFilter ref="A1:E8" xr:uid="{80D562A9-F9E2-4C9C-8D95-0E17986C0E65}"/>
  <tableColumns count="5">
    <tableColumn id="1" xr3:uid="{95532C9E-31F5-4BC6-9FB8-B2CF2412DC72}" name="Bank" totalsRowLabel="Total"/>
    <tableColumn id="2" xr3:uid="{6C0AE743-72A4-4A57-9A20-94E9BB12E60C}" name="Product"/>
    <tableColumn id="3" xr3:uid="{5E511FAE-6DDF-4746-959B-72DD1951AE82}" name="Opening balance" totalsRowFunction="sum" dataDxfId="167" totalsRowDxfId="166">
      <calculatedColumnFormula array="1">INDIRECT("flow_"&amp;$B$11-1&amp;"[@[Closing balance]]")</calculatedColumnFormula>
    </tableColumn>
    <tableColumn id="4" xr3:uid="{3EB2BC65-9AAB-4F39-A33B-A3275C2B1008}" name="Operations" totalsRowFunction="sum" dataDxfId="165" totalsRowDxfId="164">
      <calculatedColumnFormula>SUMIFS(Operations[Amount],Operations[Bank],flow_4[[#This Row],[Bank]],Operations[Product],flow_4[[#This Row],[Product]],Operations[Month],$B$11)</calculatedColumnFormula>
    </tableColumn>
    <tableColumn id="5" xr3:uid="{54739281-E1DD-493F-AF99-B1BD792F74FD}" name="Closing balance" totalsRowFunction="sum" dataDxfId="163" totalsRowDxfId="162">
      <calculatedColumnFormula>flow_4[[#This Row],[Opening balance]]+flow_4[[#This Row],[Operations]]</calculatedColumnFormula>
    </tableColumn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3D40E0-7BAF-4ED9-9627-088B48B2BA42}" name="incomes_4" displayName="incomes_4" ref="G1:H8" totalsRowCount="1">
  <autoFilter ref="G1:H7" xr:uid="{1712DEC7-0B78-40C8-9252-1A8D002EAA83}"/>
  <tableColumns count="2">
    <tableColumn id="1" xr3:uid="{FCCB75A7-4100-4452-BD25-BBEB773F5F4B}" name="Category" totalsRowLabel="Total"/>
    <tableColumn id="2" xr3:uid="{BA4C3446-BFA7-40BC-951B-A0C4E8727DC1}" name="Total" totalsRowFunction="sum" dataDxfId="161" totalsRowDxfId="160" totalsRowCellStyle="Currency">
      <calculatedColumnFormula>SUMIFS(Operations[Amount],Operations[Month],$B$11,Operations[Category],incomes_4[[#This Row],[Category]])</calculatedColumnFormula>
    </tableColumn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1C5E89-51CE-41BA-A3F5-0BD794190DE0}" name="expenses_4" displayName="expenses_4" ref="J1:K11" totalsRowCount="1">
  <autoFilter ref="J1:K10" xr:uid="{B8993199-784C-4C78-92FB-D97117058C0A}"/>
  <tableColumns count="2">
    <tableColumn id="1" xr3:uid="{F4D4E687-2988-4199-B612-0FD89C705DF9}" name="Category" totalsRowLabel="Total"/>
    <tableColumn id="2" xr3:uid="{85E55E0C-BFDE-4EEA-83BE-952F0C56C37D}" name="Total" totalsRowFunction="sum" dataDxfId="159" totalsRowDxfId="158">
      <calculatedColumnFormula>SUMIFS(Operations[Amount],Operations[Month],$B$11,Operations[Category],expenses_4[[#This Row],[Category]])</calculatedColumnFormula>
    </tableColumn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E6F373E-C2EC-4DA8-A8BD-5A0C5D01F2F7}" name="balance_4" displayName="balance_4" ref="A13:B17" totalsRowCount="1">
  <autoFilter ref="A13:B16" xr:uid="{EF2A086C-440E-4F23-8427-E1F30198C746}"/>
  <tableColumns count="2">
    <tableColumn id="1" xr3:uid="{6995F90D-2B28-48C3-98AD-394C4A581951}" name="Type" totalsRowLabel="Total"/>
    <tableColumn id="2" xr3:uid="{DC4DEB63-992B-4BB8-818F-E9993DD316F9}" name="Total" totalsRowFunction="sum" dataDxfId="157" totalsRowDxfId="156">
      <calculatedColumnFormula>SUMIFS(Operations[Amount],Operations[Month],$B$11,Operations[Type],balance_4[[#This Row],[Type]])</calculatedColumnFormula>
    </tableColumn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168552-144F-4152-B638-20B5E6D96321}" name="flow_5" displayName="flow_5" ref="A1:E9" totalsRowCount="1">
  <autoFilter ref="A1:E8" xr:uid="{80D562A9-F9E2-4C9C-8D95-0E17986C0E65}"/>
  <tableColumns count="5">
    <tableColumn id="1" xr3:uid="{F1FAAA04-C961-4F14-BDB6-5469083DA5D7}" name="Bank" totalsRowLabel="Total"/>
    <tableColumn id="2" xr3:uid="{23D085C9-85D8-43C0-AF26-B1205D925120}" name="Product"/>
    <tableColumn id="3" xr3:uid="{834A1B06-16BD-495D-8569-7F0C9752981B}" name="Opening balance" totalsRowFunction="sum" dataDxfId="155" totalsRowDxfId="154">
      <calculatedColumnFormula array="1">INDIRECT("flow_"&amp;$B$11-1&amp;"[@[Closing balance]]")</calculatedColumnFormula>
    </tableColumn>
    <tableColumn id="4" xr3:uid="{27844CC6-8FB0-438E-8367-E6BA1C3E009F}" name="Operations" totalsRowFunction="sum" dataDxfId="153" totalsRowDxfId="152">
      <calculatedColumnFormula>SUMIFS(Operations[Amount],Operations[Bank],flow_5[[#This Row],[Bank]],Operations[Product],flow_5[[#This Row],[Product]],Operations[Month],$B$11)</calculatedColumnFormula>
    </tableColumn>
    <tableColumn id="5" xr3:uid="{7A2FCF88-7E8A-4A86-9653-3F5634493823}" name="Closing balance" totalsRowFunction="sum" dataDxfId="151" totalsRowDxfId="150">
      <calculatedColumnFormula>flow_5[[#This Row],[Opening balance]]+flow_5[[#This Row],[Operations]]</calculatedColumnFormula>
    </tableColumn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F878296-DA32-4252-8CB0-68890CCAF02C}" name="incomes_5" displayName="incomes_5" ref="G1:H8" totalsRowCount="1">
  <autoFilter ref="G1:H7" xr:uid="{1712DEC7-0B78-40C8-9252-1A8D002EAA83}"/>
  <tableColumns count="2">
    <tableColumn id="1" xr3:uid="{40BE5517-546D-456C-A055-9A9EDC1171BF}" name="Category" totalsRowLabel="Total"/>
    <tableColumn id="2" xr3:uid="{4E8048D3-6201-4D57-931A-833C4149ADF8}" name="Total" totalsRowFunction="sum" dataDxfId="149" totalsRowDxfId="148" totalsRowCellStyle="Currency">
      <calculatedColumnFormula>SUMIFS(Operations[Amount],Operations[Month],$B$11,Operations[Category],incomes_5[[#This Row],[Category]])</calculatedColumnFormula>
    </tableColumn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E5DB29-B39F-4F10-B953-CE052CFCD7DA}" name="expenses_5" displayName="expenses_5" ref="J1:K11" totalsRowCount="1">
  <autoFilter ref="J1:K10" xr:uid="{B8993199-784C-4C78-92FB-D97117058C0A}"/>
  <tableColumns count="2">
    <tableColumn id="1" xr3:uid="{0502932D-3368-43C8-AA2A-F1DCF75CDC6C}" name="Category" totalsRowLabel="Total"/>
    <tableColumn id="2" xr3:uid="{02BCAD9D-4B21-4A73-88FB-2B50A48CA8FB}" name="Total" totalsRowFunction="sum" dataDxfId="147" totalsRowDxfId="146">
      <calculatedColumnFormula>SUMIFS(Operations[Amount],Operations[Month],$B$11,Operations[Category],expenses_5[[#This Row],[Category]])</calculatedColumnFormula>
    </tableColumn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BDC289F-0F98-44FC-9311-D98F21A5B536}" name="balance_5" displayName="balance_5" ref="A13:B17" totalsRowCount="1">
  <autoFilter ref="A13:B16" xr:uid="{EF2A086C-440E-4F23-8427-E1F30198C746}"/>
  <tableColumns count="2">
    <tableColumn id="1" xr3:uid="{0CB2AAD3-A208-4D0F-8A0A-CEAC9FCACD08}" name="Type" totalsRowLabel="Total"/>
    <tableColumn id="2" xr3:uid="{91045B5B-8BF5-4C11-B483-6AF0607AF578}" name="Total" totalsRowFunction="sum" dataDxfId="145" totalsRowDxfId="144">
      <calculatedColumnFormula>SUMIFS(Operations[Amount],Operations[Month],$B$11,Operations[Type],balance_5[[#This Row],[Type]])</calculatedColumnFormula>
    </tableColumn>
  </tableColumns>
  <tableStyleInfo name="TableStyleLight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E0D502-E6A5-46DD-9CC8-630CB6653739}" name="flow_6" displayName="flow_6" ref="A1:E9" totalsRowCount="1">
  <autoFilter ref="A1:E8" xr:uid="{80D562A9-F9E2-4C9C-8D95-0E17986C0E65}"/>
  <tableColumns count="5">
    <tableColumn id="1" xr3:uid="{40577E51-92F6-4A08-8297-F9F6536F2DFB}" name="Bank" totalsRowLabel="Total"/>
    <tableColumn id="2" xr3:uid="{92722608-8A69-4D10-8628-B70B1B2A03CC}" name="Product"/>
    <tableColumn id="3" xr3:uid="{936846A0-CA4E-4939-8377-E9B4AD7FE6BF}" name="Opening balance" totalsRowFunction="sum" dataDxfId="143" totalsRowDxfId="142">
      <calculatedColumnFormula array="1">INDIRECT("flow_"&amp;$B$11-1&amp;"[@[Closing balance]]")</calculatedColumnFormula>
    </tableColumn>
    <tableColumn id="4" xr3:uid="{7816AE27-C80C-4D8E-A213-1DB8D1386755}" name="Operations" totalsRowFunction="sum" dataDxfId="141" totalsRowDxfId="140">
      <calculatedColumnFormula>SUMIFS(Operations[Amount],Operations[Bank],flow_6[[#This Row],[Bank]],Operations[Product],flow_6[[#This Row],[Product]],Operations[Month],$B$11)</calculatedColumnFormula>
    </tableColumn>
    <tableColumn id="5" xr3:uid="{9EBE4E97-3C72-4960-95CB-596F1403140F}" name="Closing balance" totalsRowFunction="sum" dataDxfId="139" totalsRowDxfId="138">
      <calculatedColumnFormula>flow_6[[#This Row],[Opening balance]]+flow_6[[#This Row],[Operations]]</calculatedColumnFormula>
    </tableColumn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AAC1BBA-0751-4146-A0C0-8F98DB933753}" name="incomes_6" displayName="incomes_6" ref="G1:H8" totalsRowCount="1">
  <autoFilter ref="G1:H7" xr:uid="{1712DEC7-0B78-40C8-9252-1A8D002EAA83}"/>
  <tableColumns count="2">
    <tableColumn id="1" xr3:uid="{7960E9EA-4C32-442A-93DB-718ED5D277E4}" name="Category" totalsRowLabel="Total"/>
    <tableColumn id="2" xr3:uid="{53AD6FC4-4A6D-471F-A1DA-5A1352A06AA9}" name="Total" totalsRowFunction="sum" dataDxfId="137" totalsRowDxfId="136" totalsRowCellStyle="Currency">
      <calculatedColumnFormula>SUMIFS(Operations[Amount],Operations[Month],$B$11,Operations[Category],incomes_6[[#This Row],[Category]])</calculatedColumnFormula>
    </tableColumn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8E2C7F-B660-431A-8DEC-752D1F9F6956}" name="expenses_6" displayName="expenses_6" ref="J1:K11" totalsRowCount="1">
  <autoFilter ref="J1:K10" xr:uid="{B8993199-784C-4C78-92FB-D97117058C0A}"/>
  <tableColumns count="2">
    <tableColumn id="1" xr3:uid="{9B76E729-5C31-43EF-B2E5-DA0E4C20A434}" name="Category" totalsRowLabel="Total"/>
    <tableColumn id="2" xr3:uid="{A0EF56DD-2C24-42B5-B6E0-282E81AAD591}" name="Total" totalsRowFunction="sum" dataDxfId="135" totalsRowDxfId="134">
      <calculatedColumnFormula>SUMIFS(Operations[Amount],Operations[Month],$B$11,Operations[Category],expenses_6[[#This Row],[Category]])</calculatedColumnFormula>
    </tableColumn>
  </tableColumns>
  <tableStyleInfo name="TableStyleLight2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004CF3F-E112-46E5-9EF2-3FBCDD036B12}" name="balance_6" displayName="balance_6" ref="A13:B17" totalsRowCount="1">
  <autoFilter ref="A13:B16" xr:uid="{EF2A086C-440E-4F23-8427-E1F30198C746}"/>
  <tableColumns count="2">
    <tableColumn id="1" xr3:uid="{4421A464-5C5A-4B8F-8ACE-DA8CC4640205}" name="Type" totalsRowLabel="Total"/>
    <tableColumn id="2" xr3:uid="{A6744166-9F76-4F43-B3AC-2E8AFC45FE3B}" name="Total" totalsRowFunction="sum" dataDxfId="133" totalsRowDxfId="132">
      <calculatedColumnFormula>SUMIFS(Operations[Amount],Operations[Month],$B$11,Operations[Type],balance_6[[#This Row],[Type]])</calculatedColumnFormula>
    </tableColumn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198F113-5CD5-4323-A08F-D7C596835EA9}" name="flow_7" displayName="flow_7" ref="A1:E9" totalsRowCount="1">
  <autoFilter ref="A1:E8" xr:uid="{80D562A9-F9E2-4C9C-8D95-0E17986C0E65}"/>
  <tableColumns count="5">
    <tableColumn id="1" xr3:uid="{FA43B10C-ABF9-481D-A7D2-A1508AE2271B}" name="Bank" totalsRowLabel="Total"/>
    <tableColumn id="2" xr3:uid="{6D8BA546-C204-44CA-ACC2-A2EAEA4B8700}" name="Product"/>
    <tableColumn id="3" xr3:uid="{FC6D00D3-C45E-41CE-8BC7-F088F78A66F5}" name="Opening balance" totalsRowFunction="sum" dataDxfId="131" totalsRowDxfId="130">
      <calculatedColumnFormula array="1">INDIRECT("flow_"&amp;$B$11-1&amp;"[@[Closing balance]]")</calculatedColumnFormula>
    </tableColumn>
    <tableColumn id="4" xr3:uid="{78F2BC65-D297-4D69-928C-0271667D406A}" name="Operations" totalsRowFunction="sum" dataDxfId="129" totalsRowDxfId="128">
      <calculatedColumnFormula>SUMIFS(Operations[Amount],Operations[Bank],flow_7[[#This Row],[Bank]],Operations[Product],flow_7[[#This Row],[Product]],Operations[Month],$B$11)</calculatedColumnFormula>
    </tableColumn>
    <tableColumn id="5" xr3:uid="{8802116B-25AF-4F7F-A5D3-6ED4B7EEDD8C}" name="Closing balance" totalsRowFunction="sum" dataDxfId="127" totalsRowDxfId="126">
      <calculatedColumnFormula>flow_7[[#This Row],[Opening balance]]+flow_7[[#This Row],[Operations]]</calculatedColumnFormula>
    </tableColumn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532EBA4-6AAB-4D7B-8D23-BE5403E63AC6}" name="incomes_7" displayName="incomes_7" ref="G1:H8" totalsRowCount="1">
  <autoFilter ref="G1:H7" xr:uid="{1712DEC7-0B78-40C8-9252-1A8D002EAA83}"/>
  <tableColumns count="2">
    <tableColumn id="1" xr3:uid="{2733A4F3-13C7-4AB2-8EDB-BFE05C40DC8D}" name="Category" totalsRowLabel="Total"/>
    <tableColumn id="2" xr3:uid="{C6BC6A78-6237-4D79-8E82-28D9C2A41D85}" name="Total" totalsRowFunction="sum" dataDxfId="125" totalsRowDxfId="124" totalsRowCellStyle="Currency">
      <calculatedColumnFormula>SUMIFS(Operations[Amount],Operations[Month],$B$11,Operations[Category],incomes_7[[#This Row],[Category]])</calculatedColumnFormula>
    </tableColumn>
  </tableColumns>
  <tableStyleInfo name="TableStyleLight2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F6610F8-903F-40B7-A920-29F717B2D1D9}" name="expenses_7" displayName="expenses_7" ref="J1:K11" totalsRowCount="1">
  <autoFilter ref="J1:K10" xr:uid="{B8993199-784C-4C78-92FB-D97117058C0A}"/>
  <tableColumns count="2">
    <tableColumn id="1" xr3:uid="{DFA053F6-A710-417C-831B-56328037FB0F}" name="Category" totalsRowLabel="Total"/>
    <tableColumn id="2" xr3:uid="{CF44E6C8-8909-4381-88FA-42987D0E6899}" name="Total" totalsRowFunction="sum" dataDxfId="123" totalsRowDxfId="122">
      <calculatedColumnFormula>SUMIFS(Operations[Amount],Operations[Month],$B$11,Operations[Category],expenses_7[[#This Row],[Category]])</calculatedColumnFormula>
    </tableColumn>
  </tableColumns>
  <tableStyleInfo name="TableStyleLight2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7C73077-90A7-4243-9FDC-C4E0292B04E0}" name="balance_7" displayName="balance_7" ref="A13:B17" totalsRowCount="1">
  <autoFilter ref="A13:B16" xr:uid="{EF2A086C-440E-4F23-8427-E1F30198C746}"/>
  <tableColumns count="2">
    <tableColumn id="1" xr3:uid="{29691483-3FC4-4762-AA27-A11400ED3A3E}" name="Type" totalsRowLabel="Total"/>
    <tableColumn id="2" xr3:uid="{EFBCCE04-019C-4635-A94F-299AFBBCB9A0}" name="Total" totalsRowFunction="sum" dataDxfId="121" totalsRowDxfId="120">
      <calculatedColumnFormula>SUMIFS(Operations[Amount],Operations[Month],$B$11,Operations[Type],balance_7[[#This Row],[Type]])</calculatedColumnFormula>
    </tableColumn>
  </tableColumns>
  <tableStyleInfo name="TableStyleLight2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64C619-F75E-4AF0-8052-16D39801BF7A}" name="flow_8" displayName="flow_8" ref="A1:E9" totalsRowCount="1">
  <autoFilter ref="A1:E8" xr:uid="{80D562A9-F9E2-4C9C-8D95-0E17986C0E65}"/>
  <tableColumns count="5">
    <tableColumn id="1" xr3:uid="{285B920B-4983-41C1-8889-B9AF6B4D158B}" name="Bank" totalsRowLabel="Total"/>
    <tableColumn id="2" xr3:uid="{0272BF34-C80E-4A7B-9A08-A6D4F75E7B05}" name="Product"/>
    <tableColumn id="3" xr3:uid="{C3708534-B5C3-47FB-8E82-DD8A567FF451}" name="Opening balance" totalsRowFunction="sum" dataDxfId="119" totalsRowDxfId="118">
      <calculatedColumnFormula array="1">INDIRECT("flow_"&amp;$B$11-1&amp;"[@[Closing balance]]")</calculatedColumnFormula>
    </tableColumn>
    <tableColumn id="4" xr3:uid="{A83FF617-9CFE-4C31-8230-B6CFA9C6734C}" name="Operations" totalsRowFunction="sum" dataDxfId="117" totalsRowDxfId="116">
      <calculatedColumnFormula>SUMIFS(Operations[Amount],Operations[Bank],flow_8[[#This Row],[Bank]],Operations[Product],flow_8[[#This Row],[Product]],Operations[Month],$B$11)</calculatedColumnFormula>
    </tableColumn>
    <tableColumn id="5" xr3:uid="{321E797D-E629-4C84-ABF4-3B1D11087907}" name="Closing balance" totalsRowFunction="sum" dataDxfId="115" totalsRowDxfId="114">
      <calculatedColumnFormula>flow_8[[#This Row],[Opening balance]]+flow_8[[#This Row],[Operations]]</calculatedColumnFormula>
    </tableColumn>
  </tableColumns>
  <tableStyleInfo name="TableStyleLight2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99BE7A-618D-4FBE-A2A9-AD48CC159A4A}" name="incomes_8" displayName="incomes_8" ref="G1:H8" totalsRowCount="1">
  <autoFilter ref="G1:H7" xr:uid="{1712DEC7-0B78-40C8-9252-1A8D002EAA83}"/>
  <tableColumns count="2">
    <tableColumn id="1" xr3:uid="{E8A0760C-3B30-426D-9B7B-EA30F47C0236}" name="Category" totalsRowLabel="Total"/>
    <tableColumn id="2" xr3:uid="{055A0D39-561A-42B2-985A-09103D2AD78E}" name="Total" totalsRowFunction="sum" dataDxfId="113" totalsRowDxfId="112" totalsRowCellStyle="Currency">
      <calculatedColumnFormula>SUMIFS(Operations[Amount],Operations[Month],$B$11,Operations[Category],incomes_8[[#This Row],[Category]])</calculatedColumnFormula>
    </tableColumn>
  </tableColumns>
  <tableStyleInfo name="TableStyleLight2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50113EF-E35D-431B-B883-130FA69983F7}" name="expenses_8" displayName="expenses_8" ref="J1:K11" totalsRowCount="1">
  <autoFilter ref="J1:K10" xr:uid="{B8993199-784C-4C78-92FB-D97117058C0A}"/>
  <tableColumns count="2">
    <tableColumn id="1" xr3:uid="{D88935C6-B038-4913-B81A-16EE8BF6C3EE}" name="Category" totalsRowLabel="Total"/>
    <tableColumn id="2" xr3:uid="{B2305723-7C81-410E-99B9-2DAC26C51EA3}" name="Total" totalsRowFunction="sum" dataDxfId="111" totalsRowDxfId="110">
      <calculatedColumnFormula>SUMIFS(Operations[Amount],Operations[Month],$B$11,Operations[Category],expenses_8[[#This Row],[Category]])</calculatedColumnFormula>
    </tableColumn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92DFCE7-4783-42F6-959E-EB38C21B486E}" name="balance_8" displayName="balance_8" ref="A13:B17" totalsRowCount="1">
  <autoFilter ref="A13:B16" xr:uid="{EF2A086C-440E-4F23-8427-E1F30198C746}"/>
  <tableColumns count="2">
    <tableColumn id="1" xr3:uid="{62FF549E-584E-45C2-8190-667115F2AFA1}" name="Type" totalsRowLabel="Total"/>
    <tableColumn id="2" xr3:uid="{FB138337-92B4-4174-86CA-758483B13C5C}" name="Total" totalsRowFunction="sum" dataDxfId="109" totalsRowDxfId="108">
      <calculatedColumnFormula>SUMIFS(Operations[Amount],Operations[Month],$B$11,Operations[Type],balance_8[[#This Row],[Type]])</calculatedColumnFormula>
    </tableColumn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902747C-2307-4773-BF07-346BC5C00CE9}" name="flow_9" displayName="flow_9" ref="A1:E9" totalsRowCount="1">
  <autoFilter ref="A1:E8" xr:uid="{80D562A9-F9E2-4C9C-8D95-0E17986C0E65}"/>
  <tableColumns count="5">
    <tableColumn id="1" xr3:uid="{FE3D5B5C-2B36-4676-B7D5-FCA974F2695B}" name="Bank" totalsRowLabel="Total"/>
    <tableColumn id="2" xr3:uid="{ED552E77-F377-46F7-BB93-946BCD0DAEE3}" name="Product"/>
    <tableColumn id="3" xr3:uid="{A981F83C-1DF0-458B-8CE7-186C30546CD8}" name="Opening balance" totalsRowFunction="sum" dataDxfId="107" totalsRowDxfId="106">
      <calculatedColumnFormula array="1">INDIRECT("flow_"&amp;$B$11-1&amp;"[@[Closing balance]]")</calculatedColumnFormula>
    </tableColumn>
    <tableColumn id="4" xr3:uid="{D156DD9A-7992-4CA0-BFF7-1584C1273548}" name="Operations" totalsRowFunction="sum" dataDxfId="105" totalsRowDxfId="104">
      <calculatedColumnFormula>SUMIFS(Operations[Amount],Operations[Bank],flow_9[[#This Row],[Bank]],Operations[Product],flow_9[[#This Row],[Product]],Operations[Month],$B$11)</calculatedColumnFormula>
    </tableColumn>
    <tableColumn id="5" xr3:uid="{00128494-86AF-4F6F-B52F-6DC4331A9255}" name="Closing balance" totalsRowFunction="sum" dataDxfId="103" totalsRowDxfId="102">
      <calculatedColumnFormula>flow_9[[#This Row],[Opening balance]]+flow_9[[#This Row],[Operations]]</calculatedColumnFormula>
    </tableColumn>
  </tableColumns>
  <tableStyleInfo name="TableStyleLight2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E90C37B-0018-4C7C-80AB-D6B5ED46F5F4}" name="incomes_9" displayName="incomes_9" ref="G1:H8" totalsRowCount="1">
  <autoFilter ref="G1:H7" xr:uid="{1712DEC7-0B78-40C8-9252-1A8D002EAA83}"/>
  <tableColumns count="2">
    <tableColumn id="1" xr3:uid="{B2B5600C-AD98-48C8-8062-A6CB5DD7BE0F}" name="Category" totalsRowLabel="Total"/>
    <tableColumn id="2" xr3:uid="{678B0EC3-1C3D-409A-91D0-38985972CED8}" name="Total" totalsRowFunction="sum" dataDxfId="101" totalsRowDxfId="100" totalsRowCellStyle="Currency">
      <calculatedColumnFormula>SUMIFS(Operations[Amount],Operations[Month],$B$11,Operations[Category],incomes_9[[#This Row],[Category]])</calculatedColumnFormula>
    </tableColumn>
  </tableColumns>
  <tableStyleInfo name="TableStyleLight2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5623C9E-2C9D-49DF-ADB3-6B9CFADD8292}" name="expenses_9" displayName="expenses_9" ref="J1:K11" totalsRowCount="1">
  <autoFilter ref="J1:K10" xr:uid="{B8993199-784C-4C78-92FB-D97117058C0A}"/>
  <tableColumns count="2">
    <tableColumn id="1" xr3:uid="{763A486D-CABD-4937-B4D7-145C59C62379}" name="Category" totalsRowLabel="Total"/>
    <tableColumn id="2" xr3:uid="{AD475DA2-7411-4A95-828E-D58EAC8FBD45}" name="Total" totalsRowFunction="sum" dataDxfId="99" totalsRowDxfId="98">
      <calculatedColumnFormula>SUMIFS(Operations[Amount],Operations[Month],$B$11,Operations[Category],expenses_9[[#This Row],[Category]])</calculatedColumnFormula>
    </tableColumn>
  </tableColumns>
  <tableStyleInfo name="TableStyleLight2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77ADD48-B7F1-459D-A79C-8A40AA0D7888}" name="balance_9" displayName="balance_9" ref="A13:B17" totalsRowCount="1">
  <autoFilter ref="A13:B16" xr:uid="{EF2A086C-440E-4F23-8427-E1F30198C746}"/>
  <tableColumns count="2">
    <tableColumn id="1" xr3:uid="{3EECDB15-6366-48FF-80AD-3ACC129F98C1}" name="Type" totalsRowLabel="Total"/>
    <tableColumn id="2" xr3:uid="{1886FAA7-E64C-42FE-AACD-1939C460232D}" name="Total" totalsRowFunction="sum" dataDxfId="97" totalsRowDxfId="96">
      <calculatedColumnFormula>SUMIFS(Operations[Amount],Operations[Month],$B$11,Operations[Type],balance_9[[#This Row],[Type]])</calculatedColumnFormula>
    </tableColumn>
  </tableColumns>
  <tableStyleInfo name="TableStyleLight2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EF8D548-7C36-44A0-8FF4-F6781160483A}" name="flow_10" displayName="flow_10" ref="A1:E9" totalsRowCount="1">
  <autoFilter ref="A1:E8" xr:uid="{80D562A9-F9E2-4C9C-8D95-0E17986C0E65}"/>
  <tableColumns count="5">
    <tableColumn id="1" xr3:uid="{B3138727-9A0A-4532-AA2D-0F481AF32CA6}" name="Bank" totalsRowLabel="Total"/>
    <tableColumn id="2" xr3:uid="{0D7413E7-14CD-476A-B60D-B44976F90299}" name="Product"/>
    <tableColumn id="3" xr3:uid="{DD6E1B07-E82D-4356-81B4-ECE27C274DDE}" name="Opening balance" totalsRowFunction="sum" dataDxfId="95" totalsRowDxfId="94">
      <calculatedColumnFormula array="1">INDIRECT("flow_"&amp;$B$11-1&amp;"[@[Closing balance]]")</calculatedColumnFormula>
    </tableColumn>
    <tableColumn id="4" xr3:uid="{EE691B62-E498-4FC3-A104-A74B46A8E78B}" name="Operations" totalsRowFunction="sum" dataDxfId="93" totalsRowDxfId="92">
      <calculatedColumnFormula>SUMIFS(Operations[Amount],Operations[Bank],flow_10[[#This Row],[Bank]],Operations[Product],flow_10[[#This Row],[Product]],Operations[Month],$B$11)</calculatedColumnFormula>
    </tableColumn>
    <tableColumn id="5" xr3:uid="{A65E908B-FA3E-43EA-A0B1-71CD860A9715}" name="Closing balance" totalsRowFunction="sum" dataDxfId="91" totalsRowDxfId="90">
      <calculatedColumnFormula>flow_10[[#This Row],[Opening balance]]+flow_10[[#This Row],[Operations]]</calculatedColumnFormula>
    </tableColumn>
  </tableColumns>
  <tableStyleInfo name="TableStyleLight2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B93E31-8498-4369-BCB4-51776F8EFE00}" name="incomes_10" displayName="incomes_10" ref="G1:H8" totalsRowCount="1">
  <autoFilter ref="G1:H7" xr:uid="{1712DEC7-0B78-40C8-9252-1A8D002EAA83}"/>
  <tableColumns count="2">
    <tableColumn id="1" xr3:uid="{72748251-D3BB-40A4-9F86-560799C8227B}" name="Category" totalsRowLabel="Total"/>
    <tableColumn id="2" xr3:uid="{29CB7C5A-D50F-4C7B-8993-ECF3E31D1E01}" name="Total" totalsRowFunction="sum" dataDxfId="89" totalsRowDxfId="88" totalsRowCellStyle="Currency">
      <calculatedColumnFormula>SUMIFS(Operations[Amount],Operations[Month],$B$11,Operations[Category],incomes_10[[#This Row],[Category]])</calculatedColumnFormula>
    </tableColumn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FE1CD28-22C8-437C-B27B-E1BAB1D6776E}" name="expenses_10" displayName="expenses_10" ref="J1:K11" totalsRowCount="1">
  <autoFilter ref="J1:K10" xr:uid="{B8993199-784C-4C78-92FB-D97117058C0A}"/>
  <tableColumns count="2">
    <tableColumn id="1" xr3:uid="{A36B741D-A009-49F8-A40B-7E983F8FD02B}" name="Category" totalsRowLabel="Total"/>
    <tableColumn id="2" xr3:uid="{F250B929-6193-4D1C-9BF1-AB4E091A1B4B}" name="Total" totalsRowFunction="sum" dataDxfId="87" totalsRowDxfId="86">
      <calculatedColumnFormula>SUMIFS(Operations[Amount],Operations[Month],$B$11,Operations[Category],expenses_10[[#This Row],[Category]])</calculatedColumnFormula>
    </tableColumn>
  </tableColumns>
  <tableStyleInfo name="TableStyleLight2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AB21DAA-D53A-4AE3-80DE-0288EDBFA3C1}" name="balance_10" displayName="balance_10" ref="A13:B17" totalsRowCount="1">
  <autoFilter ref="A13:B16" xr:uid="{EF2A086C-440E-4F23-8427-E1F30198C746}"/>
  <tableColumns count="2">
    <tableColumn id="1" xr3:uid="{9E3F2D8C-38E4-45FA-A8FB-FAAA1AA406B6}" name="Type" totalsRowLabel="Total"/>
    <tableColumn id="2" xr3:uid="{3B6D09C7-2E82-4BB0-BACF-427B597C928F}" name="Total" totalsRowFunction="sum" dataDxfId="85" totalsRowDxfId="84">
      <calculatedColumnFormula>SUMIFS(Operations[Amount],Operations[Month],$B$11,Operations[Type],balance_10[[#This Row],[Type]])</calculatedColumnFormula>
    </tableColumn>
  </tableColumns>
  <tableStyleInfo name="TableStyleLight2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19E7908-3719-4A35-93DD-DCBAF9B95305}" name="flow_11" displayName="flow_11" ref="A1:E9" totalsRowCount="1">
  <autoFilter ref="A1:E8" xr:uid="{80D562A9-F9E2-4C9C-8D95-0E17986C0E65}"/>
  <tableColumns count="5">
    <tableColumn id="1" xr3:uid="{C28B5135-E9A1-48EF-B608-A38D0AF90A7C}" name="Bank" totalsRowLabel="Total"/>
    <tableColumn id="2" xr3:uid="{45185D19-22D7-4AE7-8982-254D8CC3E28A}" name="Product"/>
    <tableColumn id="3" xr3:uid="{B3918B19-F4F0-4425-B571-1A8F821D65E6}" name="Opening balance" totalsRowFunction="sum" dataDxfId="83" totalsRowDxfId="82">
      <calculatedColumnFormula array="1">INDIRECT("flow_"&amp;$B$11-1&amp;"[@[Closing balance]]")</calculatedColumnFormula>
    </tableColumn>
    <tableColumn id="4" xr3:uid="{7232CFFB-1A19-410B-AFE4-DB033A4C5205}" name="Operations" totalsRowFunction="sum" dataDxfId="81" totalsRowDxfId="80">
      <calculatedColumnFormula>SUMIFS(Operations[Amount],Operations[Bank],flow_11[[#This Row],[Bank]],Operations[Product],flow_11[[#This Row],[Product]],Operations[Month],$B$11)</calculatedColumnFormula>
    </tableColumn>
    <tableColumn id="5" xr3:uid="{40446592-F869-429B-A580-F8A0E3E563CC}" name="Closing balance" totalsRowFunction="sum" dataDxfId="79" totalsRowDxfId="78">
      <calculatedColumnFormula>flow_11[[#This Row],[Opening balance]]+flow_11[[#This Row],[Operations]]</calculatedColumnFormula>
    </tableColumn>
  </tableColumns>
  <tableStyleInfo name="TableStyleLight2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C02065E-14C3-42B8-A16D-FC90D76C24F0}" name="incomes_11" displayName="incomes_11" ref="G1:H8" totalsRowCount="1">
  <autoFilter ref="G1:H7" xr:uid="{1712DEC7-0B78-40C8-9252-1A8D002EAA83}"/>
  <tableColumns count="2">
    <tableColumn id="1" xr3:uid="{B474821A-4297-43E8-A81D-B55DC2B21A7D}" name="Category" totalsRowLabel="Total"/>
    <tableColumn id="2" xr3:uid="{001F0C70-1AA9-4756-AECC-4C2DC9D884BE}" name="Total" totalsRowFunction="sum" dataDxfId="77" totalsRowDxfId="76" totalsRowCellStyle="Currency">
      <calculatedColumnFormula>SUMIFS(Operations[Amount],Operations[Month],$B$11,Operations[Category],incomes_11[[#This Row],[Category]])</calculatedColumnFormula>
    </tableColumn>
  </tableColumns>
  <tableStyleInfo name="TableStyleLight2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569688C-07CC-42B6-8D60-4DDE834889B1}" name="expenses_11" displayName="expenses_11" ref="J1:K11" totalsRowCount="1">
  <autoFilter ref="J1:K10" xr:uid="{B8993199-784C-4C78-92FB-D97117058C0A}"/>
  <tableColumns count="2">
    <tableColumn id="1" xr3:uid="{FBECFC65-CFAC-46E8-9C34-927DF0F9D22C}" name="Category" totalsRowLabel="Total"/>
    <tableColumn id="2" xr3:uid="{77E42F79-7E57-4ED4-81E6-73B571B60822}" name="Total" totalsRowFunction="sum" dataDxfId="75" totalsRowDxfId="74">
      <calculatedColumnFormula>SUMIFS(Operations[Amount],Operations[Month],$B$11,Operations[Category],expenses_11[[#This Row],[Category]])</calculatedColumnFormula>
    </tableColumn>
  </tableColumns>
  <tableStyleInfo name="TableStyleLight2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FE6C788-3CA9-4638-B469-BB2312E9C1CC}" name="balance_11" displayName="balance_11" ref="A13:B17" totalsRowCount="1">
  <autoFilter ref="A13:B16" xr:uid="{EF2A086C-440E-4F23-8427-E1F30198C746}"/>
  <tableColumns count="2">
    <tableColumn id="1" xr3:uid="{85CDAFB1-7D5D-4DE2-AA75-779FAC1B8A4D}" name="Type" totalsRowLabel="Total"/>
    <tableColumn id="2" xr3:uid="{186E4AA2-89BB-4939-BD58-EF4F3548A56D}" name="Total" totalsRowFunction="sum" dataDxfId="73" totalsRowDxfId="72">
      <calculatedColumnFormula>SUMIFS(Operations[Amount],Operations[Month],$B$11,Operations[Type],balance_11[[#This Row],[Type]])</calculatedColumnFormula>
    </tableColumn>
  </tableColumns>
  <tableStyleInfo name="TableStyleLight2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1CE9482-0478-478E-88D3-59479F1263F4}" name="flow_12" displayName="flow_12" ref="A1:E9" totalsRowCount="1">
  <autoFilter ref="A1:E8" xr:uid="{80D562A9-F9E2-4C9C-8D95-0E17986C0E65}"/>
  <tableColumns count="5">
    <tableColumn id="1" xr3:uid="{B8A3FC9A-D101-4799-9FB5-7EAE0E6F09BF}" name="Bank" totalsRowLabel="Total"/>
    <tableColumn id="2" xr3:uid="{629F6B8C-B102-4672-B961-4EED15CFBD09}" name="Product"/>
    <tableColumn id="3" xr3:uid="{29072A50-A0A0-4E66-AD4A-86528E51633A}" name="Opening balance" totalsRowFunction="sum" dataDxfId="71" totalsRowDxfId="70">
      <calculatedColumnFormula array="1">INDIRECT("flow_"&amp;$B$11-1&amp;"[@[Closing balance]]")</calculatedColumnFormula>
    </tableColumn>
    <tableColumn id="4" xr3:uid="{C778E925-4A73-428F-A6CF-6418B57CB9DA}" name="Operations" totalsRowFunction="sum" dataDxfId="69" totalsRowDxfId="68">
      <calculatedColumnFormula>SUMIFS(Operations[Amount],Operations[Bank],flow_12[[#This Row],[Bank]],Operations[Product],flow_12[[#This Row],[Product]],Operations[Month],$B$11)</calculatedColumnFormula>
    </tableColumn>
    <tableColumn id="5" xr3:uid="{E287CA56-7D37-4EE9-9899-3B36048AE67C}" name="Closing balance" totalsRowFunction="sum" dataDxfId="67" totalsRowDxfId="66">
      <calculatedColumnFormula>flow_12[[#This Row],[Opening balance]]+flow_12[[#This Row],[Operations]]</calculatedColumnFormula>
    </tableColumn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ED57B95-D18C-456F-9515-0FF25BB18E16}" name="incomes_12" displayName="incomes_12" ref="G1:H8" totalsRowCount="1">
  <autoFilter ref="G1:H7" xr:uid="{1712DEC7-0B78-40C8-9252-1A8D002EAA83}"/>
  <tableColumns count="2">
    <tableColumn id="1" xr3:uid="{2EA11FD5-5A4D-4D2A-B7A2-429A7291DDD2}" name="Category" totalsRowLabel="Total"/>
    <tableColumn id="2" xr3:uid="{4E6BACCE-B5E3-4645-B3CB-7385648D749F}" name="Total" totalsRowFunction="sum" dataDxfId="65" totalsRowDxfId="64" totalsRowCellStyle="Currency">
      <calculatedColumnFormula>SUMIFS(Operations[Amount],Operations[Month],$B$11,Operations[Category],incomes_12[[#This Row],[Category]])</calculatedColumnFormula>
    </tableColumn>
  </tableColumns>
  <tableStyleInfo name="TableStyleLight2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4C3C000-2CDA-4FE1-81EE-811C0D86A1DC}" name="expenses_12" displayName="expenses_12" ref="J1:K11" totalsRowCount="1">
  <autoFilter ref="J1:K10" xr:uid="{B8993199-784C-4C78-92FB-D97117058C0A}"/>
  <tableColumns count="2">
    <tableColumn id="1" xr3:uid="{319C6074-D1CA-4942-8BE8-1C85E33F78E3}" name="Category" totalsRowLabel="Total"/>
    <tableColumn id="2" xr3:uid="{6AE36356-E203-487E-8E7C-79CBAAE54FA5}" name="Total" totalsRowFunction="sum" dataDxfId="63" totalsRowDxfId="62">
      <calculatedColumnFormula>SUMIFS(Operations[Amount],Operations[Month],$B$11,Operations[Category],expenses_12[[#This Row],[Category]])</calculatedColumnFormula>
    </tableColumn>
  </tableColumns>
  <tableStyleInfo name="TableStyleLight20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4ACD503-0B20-4D2D-8976-9FBF29BE5728}" name="balance_12" displayName="balance_12" ref="A13:B17" totalsRowCount="1">
  <autoFilter ref="A13:B16" xr:uid="{EF2A086C-440E-4F23-8427-E1F30198C746}"/>
  <tableColumns count="2">
    <tableColumn id="1" xr3:uid="{759C3BD9-CAE1-4522-9459-FA18004AD99A}" name="Type" totalsRowLabel="Total"/>
    <tableColumn id="2" xr3:uid="{389185D1-94D9-4CA6-9A49-B6CF9E9B8D7E}" name="Total" totalsRowFunction="sum" dataDxfId="61" totalsRowDxfId="60">
      <calculatedColumnFormula>SUMIFS(Operations[Amount],Operations[Month],$B$11,Operations[Type],balance_12[[#This Row],[Type]])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zoomScale="160" zoomScaleNormal="160" workbookViewId="0">
      <selection activeCell="C4" sqref="C4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12.7109375" customWidth="1"/>
    <col min="6" max="6" width="11.28515625" bestFit="1" customWidth="1"/>
    <col min="7" max="7" width="8.7109375" customWidth="1"/>
    <col min="10" max="10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  <row r="208" spans="1:7" x14ac:dyDescent="0.25">
      <c r="A208" s="2">
        <v>1020</v>
      </c>
      <c r="B208" s="1" t="s">
        <v>7</v>
      </c>
      <c r="C208" s="1" t="s">
        <v>8</v>
      </c>
      <c r="D208" s="1" t="s">
        <v>29</v>
      </c>
      <c r="E208" s="1" t="str">
        <f>_xlfn.XLOOKUP(Operations[[#This Row],[Category]],Categories[Category],Categories[Type],"",0,1)</f>
        <v>Transfer</v>
      </c>
      <c r="F208" s="19">
        <v>45505</v>
      </c>
      <c r="G208" s="20">
        <f>MONTH(Operations[[#This Row],[Date]])</f>
        <v>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199D47-DBE5-470F-A3CF-E774D177A284}">
          <x14:formula1>
            <xm:f>_xlfn._TRO_TRAILING(dicionary!$A$1:$A$26)</xm:f>
          </x14:formula1>
          <xm:sqref>D2:D1048576</xm:sqref>
        </x14:dataValidation>
        <x14:dataValidation type="list" allowBlank="1" showInputMessage="1" showErrorMessage="1" xr:uid="{EA7B572C-E6DE-4EA3-9ACC-7B1AEC9E41A2}">
          <x14:formula1>
            <xm:f>dicionary!$G$1:$I$1</xm:f>
          </x14:formula1>
          <xm:sqref>B2:B1048576</xm:sqref>
        </x14:dataValidation>
        <x14:dataValidation type="list" allowBlank="1" showInputMessage="1" showErrorMessage="1" xr:uid="{B8FDC7B3-F2A9-4548-9480-EAA5AE9F612D}">
          <x14:formula1>
            <xm:f>CHOOSE(MATCH(B2,dicionary!$G$1:$I$1,0),_xlfn._TRO_TRAILING(dicionary!$G$2:$G$8),_xlfn._TRO_TRAILING(dicionary!$H$2:$H$8),_xlfn._TRO_TRAILING(dicionary!$I$2:$I$8))</xm:f>
          </x14:formula1>
          <xm:sqref>C2:C208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I17"/>
  <sheetViews>
    <sheetView zoomScale="175" zoomScaleNormal="175" workbookViewId="0">
      <selection sqref="A1:B17"/>
    </sheetView>
  </sheetViews>
  <sheetFormatPr defaultRowHeight="15" x14ac:dyDescent="0.25"/>
  <cols>
    <col min="1" max="1" width="16" bestFit="1" customWidth="1"/>
    <col min="4" max="4" width="11" customWidth="1"/>
    <col min="5" max="5" width="17.5703125" bestFit="1" customWidth="1"/>
    <col min="7" max="7" width="15" bestFit="1" customWidth="1"/>
    <col min="8" max="8" width="18.28515625" bestFit="1" customWidth="1"/>
    <col min="9" max="9" width="8.42578125" bestFit="1" customWidth="1"/>
  </cols>
  <sheetData>
    <row r="1" spans="1:9" ht="15.75" thickBot="1" x14ac:dyDescent="0.3">
      <c r="A1" s="1" t="s">
        <v>3</v>
      </c>
      <c r="B1" t="s">
        <v>4</v>
      </c>
      <c r="D1" s="6" t="s">
        <v>1</v>
      </c>
      <c r="E1" s="7" t="s">
        <v>2</v>
      </c>
      <c r="G1" s="10" t="s">
        <v>12</v>
      </c>
      <c r="H1" s="10" t="s">
        <v>7</v>
      </c>
      <c r="I1" s="10" t="s">
        <v>24</v>
      </c>
    </row>
    <row r="2" spans="1:9" x14ac:dyDescent="0.25">
      <c r="A2" s="1" t="s">
        <v>11</v>
      </c>
      <c r="B2" t="s">
        <v>32</v>
      </c>
      <c r="D2" s="4" t="s">
        <v>12</v>
      </c>
      <c r="E2" s="5" t="s">
        <v>8</v>
      </c>
      <c r="G2" s="10" t="s">
        <v>8</v>
      </c>
      <c r="H2" s="10" t="s">
        <v>8</v>
      </c>
      <c r="I2" s="10" t="s">
        <v>25</v>
      </c>
    </row>
    <row r="3" spans="1:9" x14ac:dyDescent="0.25">
      <c r="A3" s="1" t="s">
        <v>22</v>
      </c>
      <c r="B3" t="s">
        <v>32</v>
      </c>
      <c r="D3" s="4" t="s">
        <v>12</v>
      </c>
      <c r="E3" s="5" t="s">
        <v>18</v>
      </c>
      <c r="G3" s="10" t="s">
        <v>18</v>
      </c>
      <c r="H3" s="10" t="s">
        <v>13</v>
      </c>
      <c r="I3" s="10" t="s">
        <v>26</v>
      </c>
    </row>
    <row r="4" spans="1:9" x14ac:dyDescent="0.25">
      <c r="A4" s="1" t="s">
        <v>20</v>
      </c>
      <c r="B4" t="s">
        <v>32</v>
      </c>
      <c r="D4" s="4" t="s">
        <v>7</v>
      </c>
      <c r="E4" s="5" t="s">
        <v>8</v>
      </c>
      <c r="G4" s="10"/>
      <c r="H4" s="10" t="s">
        <v>16</v>
      </c>
      <c r="I4" s="10"/>
    </row>
    <row r="5" spans="1:9" x14ac:dyDescent="0.25">
      <c r="A5" s="1" t="s">
        <v>9</v>
      </c>
      <c r="B5" t="s">
        <v>32</v>
      </c>
      <c r="D5" s="4" t="s">
        <v>7</v>
      </c>
      <c r="E5" s="5" t="s">
        <v>13</v>
      </c>
      <c r="G5" s="10"/>
      <c r="H5" s="10"/>
      <c r="I5" s="10"/>
    </row>
    <row r="6" spans="1:9" x14ac:dyDescent="0.25">
      <c r="A6" s="1" t="s">
        <v>28</v>
      </c>
      <c r="B6" t="s">
        <v>32</v>
      </c>
      <c r="D6" s="4" t="s">
        <v>7</v>
      </c>
      <c r="E6" s="5" t="s">
        <v>16</v>
      </c>
      <c r="G6" s="10"/>
      <c r="H6" s="10"/>
      <c r="I6" s="10"/>
    </row>
    <row r="7" spans="1:9" x14ac:dyDescent="0.25">
      <c r="A7" s="1" t="s">
        <v>14</v>
      </c>
      <c r="B7" t="s">
        <v>32</v>
      </c>
      <c r="D7" s="4" t="s">
        <v>24</v>
      </c>
      <c r="E7" s="5" t="s">
        <v>25</v>
      </c>
      <c r="G7" s="10"/>
      <c r="H7" s="10"/>
      <c r="I7" s="10"/>
    </row>
    <row r="8" spans="1:9" x14ac:dyDescent="0.25">
      <c r="A8" s="1" t="s">
        <v>17</v>
      </c>
      <c r="B8" t="s">
        <v>32</v>
      </c>
      <c r="D8" s="8" t="s">
        <v>24</v>
      </c>
      <c r="E8" s="9" t="s">
        <v>26</v>
      </c>
      <c r="G8" s="10"/>
      <c r="H8" s="10"/>
      <c r="I8" s="10"/>
    </row>
    <row r="9" spans="1:9" x14ac:dyDescent="0.25">
      <c r="A9" s="1" t="s">
        <v>23</v>
      </c>
      <c r="B9" t="s">
        <v>32</v>
      </c>
    </row>
    <row r="10" spans="1:9" x14ac:dyDescent="0.25">
      <c r="A10" s="1" t="s">
        <v>21</v>
      </c>
      <c r="B10" t="s">
        <v>32</v>
      </c>
    </row>
    <row r="11" spans="1:9" x14ac:dyDescent="0.25">
      <c r="A11" s="1" t="s">
        <v>19</v>
      </c>
      <c r="B11" t="s">
        <v>33</v>
      </c>
    </row>
    <row r="12" spans="1:9" x14ac:dyDescent="0.25">
      <c r="A12" s="1" t="s">
        <v>27</v>
      </c>
      <c r="B12" t="s">
        <v>33</v>
      </c>
    </row>
    <row r="13" spans="1:9" x14ac:dyDescent="0.25">
      <c r="A13" s="1" t="s">
        <v>30</v>
      </c>
      <c r="B13" t="s">
        <v>33</v>
      </c>
    </row>
    <row r="14" spans="1:9" x14ac:dyDescent="0.25">
      <c r="A14" s="1" t="s">
        <v>15</v>
      </c>
      <c r="B14" t="s">
        <v>33</v>
      </c>
    </row>
    <row r="15" spans="1:9" x14ac:dyDescent="0.25">
      <c r="A15" s="1" t="s">
        <v>10</v>
      </c>
      <c r="B15" t="s">
        <v>33</v>
      </c>
    </row>
    <row r="16" spans="1:9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29</v>
      </c>
    </row>
  </sheetData>
  <sortState xmlns:xlrd2="http://schemas.microsoft.com/office/spreadsheetml/2017/richdata2" ref="D2:E8">
    <sortCondition ref="D2:D8"/>
    <sortCondition ref="E2:E8"/>
  </sortState>
  <dataValidations count="1">
    <dataValidation type="list" allowBlank="1" showInputMessage="1" showErrorMessage="1" sqref="B2:B17" xr:uid="{FD9F465A-224B-4F2F-9EAB-599BAD3A05E9}">
      <formula1>"Income,Transfer,Expense"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A941-C9D8-4A46-8384-E259F39F11A0}">
  <dimension ref="A1:O18"/>
  <sheetViews>
    <sheetView zoomScale="115" zoomScaleNormal="115" workbookViewId="0">
      <selection activeCell="J17" sqref="J17"/>
    </sheetView>
  </sheetViews>
  <sheetFormatPr defaultRowHeight="15" x14ac:dyDescent="0.25"/>
  <cols>
    <col min="1" max="1" width="15.140625" bestFit="1" customWidth="1"/>
    <col min="2" max="2" width="8.42578125" bestFit="1" customWidth="1"/>
    <col min="3" max="14" width="12" bestFit="1" customWidth="1"/>
    <col min="15" max="15" width="13" bestFit="1" customWidth="1"/>
  </cols>
  <sheetData>
    <row r="1" spans="1:15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37</v>
      </c>
    </row>
    <row r="2" spans="1:15" x14ac:dyDescent="0.25">
      <c r="A2" t="s">
        <v>11</v>
      </c>
      <c r="B2" t="s">
        <v>32</v>
      </c>
      <c r="C2" s="11" cm="1">
        <f t="array" ref="C2">SUMIFS(Operations[[Amount]:[Amount]],Operations[[Category]:[Category]],summary1[[#This Row],[Category]:[Category]],Operations[[Month]:[Month]],summary1[[#Headers],[1]])</f>
        <v>-2000</v>
      </c>
      <c r="D2" s="11" cm="1">
        <f t="array" ref="D2">SUMIFS(Operations[[Amount]:[Amount]],Operations[[Category]:[Category]],summary1[[#This Row],[Category]:[Category]],Operations[[Month]:[Month]],summary1[[#Headers],[2]])</f>
        <v>-2000</v>
      </c>
      <c r="E2" s="11" cm="1">
        <f t="array" ref="E2">SUMIFS(Operations[[Amount]:[Amount]],Operations[[Category]:[Category]],summary1[[#This Row],[Category]:[Category]],Operations[[Month]:[Month]],summary1[[#Headers],[3]])</f>
        <v>-2000</v>
      </c>
      <c r="F2" s="11" cm="1">
        <f t="array" ref="F2">SUMIFS(Operations[[Amount]:[Amount]],Operations[[Category]:[Category]],summary1[[#This Row],[Category]:[Category]],Operations[[Month]:[Month]],summary1[[#Headers],[4]])</f>
        <v>-2000</v>
      </c>
      <c r="G2" s="11" cm="1">
        <f t="array" ref="G2">SUMIFS(Operations[[Amount]:[Amount]],Operations[[Category]:[Category]],summary1[[#This Row],[Category]:[Category]],Operations[[Month]:[Month]],summary1[[#Headers],[5]])</f>
        <v>-2000</v>
      </c>
      <c r="H2" s="11" cm="1">
        <f t="array" ref="H2">SUMIFS(Operations[[Amount]:[Amount]],Operations[[Category]:[Category]],summary1[[#This Row],[Category]:[Category]],Operations[[Month]:[Month]],summary1[[#Headers],[6]])</f>
        <v>-2000</v>
      </c>
      <c r="I2" s="11" cm="1">
        <f t="array" ref="I2">SUMIFS(Operations[[Amount]:[Amount]],Operations[[Category]:[Category]],summary1[[#This Row],[Category]:[Category]],Operations[[Month]:[Month]],summary1[[#Headers],[7]])</f>
        <v>-2000</v>
      </c>
      <c r="J2" s="11" cm="1">
        <f t="array" ref="J2">SUMIFS(Operations[[Amount]:[Amount]],Operations[[Category]:[Category]],summary1[[#This Row],[Category]:[Category]],Operations[[Month]:[Month]],summary1[[#Headers],[8]])</f>
        <v>-2000</v>
      </c>
      <c r="K2" s="11" cm="1">
        <f t="array" ref="K2">SUMIFS(Operations[[Amount]:[Amount]],Operations[[Category]:[Category]],summary1[[#This Row],[Category]:[Category]],Operations[[Month]:[Month]],summary1[[#Headers],[9]])</f>
        <v>-2000</v>
      </c>
      <c r="L2" s="11" cm="1">
        <f t="array" ref="L2">SUMIFS(Operations[[Amount]:[Amount]],Operations[[Category]:[Category]],summary1[[#This Row],[Category]:[Category]],Operations[[Month]:[Month]],summary1[[#Headers],[10]])</f>
        <v>-2000</v>
      </c>
      <c r="M2" s="11" cm="1">
        <f t="array" ref="M2">SUMIFS(Operations[[Amount]:[Amount]],Operations[[Category]:[Category]],summary1[[#This Row],[Category]:[Category]],Operations[[Month]:[Month]],summary1[[#Headers],[11]])</f>
        <v>-2000</v>
      </c>
      <c r="N2" s="11" cm="1">
        <f t="array" ref="N2">SUMIFS(Operations[[Amount]:[Amount]],Operations[[Category]:[Category]],summary1[[#This Row],[Category]:[Category]],Operations[[Month]:[Month]],summary1[[#Headers],[12]])</f>
        <v>-2000</v>
      </c>
      <c r="O2" s="11">
        <f>SUM(summary1[[#This Row],[1]:[12]])</f>
        <v>-24000</v>
      </c>
    </row>
    <row r="3" spans="1:15" x14ac:dyDescent="0.25">
      <c r="A3" t="s">
        <v>22</v>
      </c>
      <c r="B3" t="s">
        <v>32</v>
      </c>
      <c r="C3" s="11" cm="1">
        <f t="array" ref="C3">SUMIFS(Operations[[Amount]:[Amount]],Operations[[Category]:[Category]],summary1[[#This Row],[Category]:[Category]],Operations[[Month]:[Month]],summary1[[#Headers],[1]])</f>
        <v>-80</v>
      </c>
      <c r="D3" s="11" cm="1">
        <f t="array" ref="D3">SUMIFS(Operations[[Amount]:[Amount]],Operations[[Category]:[Category]],summary1[[#This Row],[Category]:[Category]],Operations[[Month]:[Month]],summary1[[#Headers],[2]])</f>
        <v>0</v>
      </c>
      <c r="E3" s="11" cm="1">
        <f t="array" ref="E3">SUMIFS(Operations[[Amount]:[Amount]],Operations[[Category]:[Category]],summary1[[#This Row],[Category]:[Category]],Operations[[Month]:[Month]],summary1[[#Headers],[3]])</f>
        <v>-469.9</v>
      </c>
      <c r="F3" s="11" cm="1">
        <f t="array" ref="F3">SUMIFS(Operations[[Amount]:[Amount]],Operations[[Category]:[Category]],summary1[[#This Row],[Category]:[Category]],Operations[[Month]:[Month]],summary1[[#Headers],[4]])</f>
        <v>-149</v>
      </c>
      <c r="G3" s="11" cm="1">
        <f t="array" ref="G3">SUMIFS(Operations[[Amount]:[Amount]],Operations[[Category]:[Category]],summary1[[#This Row],[Category]:[Category]],Operations[[Month]:[Month]],summary1[[#Headers],[5]])</f>
        <v>0</v>
      </c>
      <c r="H3" s="11" cm="1">
        <f t="array" ref="H3">SUMIFS(Operations[[Amount]:[Amount]],Operations[[Category]:[Category]],summary1[[#This Row],[Category]:[Category]],Operations[[Month]:[Month]],summary1[[#Headers],[6]])</f>
        <v>-300</v>
      </c>
      <c r="I3" s="11" cm="1">
        <f t="array" ref="I3">SUMIFS(Operations[[Amount]:[Amount]],Operations[[Category]:[Category]],summary1[[#This Row],[Category]:[Category]],Operations[[Month]:[Month]],summary1[[#Headers],[7]])</f>
        <v>250</v>
      </c>
      <c r="J3" s="11" cm="1">
        <f t="array" ref="J3">SUMIFS(Operations[[Amount]:[Amount]],Operations[[Category]:[Category]],summary1[[#This Row],[Category]:[Category]],Operations[[Month]:[Month]],summary1[[#Headers],[8]])</f>
        <v>-300</v>
      </c>
      <c r="K3" s="11" cm="1">
        <f t="array" ref="K3">SUMIFS(Operations[[Amount]:[Amount]],Operations[[Category]:[Category]],summary1[[#This Row],[Category]:[Category]],Operations[[Month]:[Month]],summary1[[#Headers],[9]])</f>
        <v>0</v>
      </c>
      <c r="L3" s="11" cm="1">
        <f t="array" ref="L3">SUMIFS(Operations[[Amount]:[Amount]],Operations[[Category]:[Category]],summary1[[#This Row],[Category]:[Category]],Operations[[Month]:[Month]],summary1[[#Headers],[10]])</f>
        <v>0</v>
      </c>
      <c r="M3" s="11" cm="1">
        <f t="array" ref="M3">SUMIFS(Operations[[Amount]:[Amount]],Operations[[Category]:[Category]],summary1[[#This Row],[Category]:[Category]],Operations[[Month]:[Month]],summary1[[#Headers],[11]])</f>
        <v>-158</v>
      </c>
      <c r="N3" s="11" cm="1">
        <f t="array" ref="N3">SUMIFS(Operations[[Amount]:[Amount]],Operations[[Category]:[Category]],summary1[[#This Row],[Category]:[Category]],Operations[[Month]:[Month]],summary1[[#Headers],[12]])</f>
        <v>-120</v>
      </c>
      <c r="O3" s="11">
        <f>SUM(summary1[[#This Row],[1]:[12]])</f>
        <v>-1326.9</v>
      </c>
    </row>
    <row r="4" spans="1:15" x14ac:dyDescent="0.25">
      <c r="A4" t="s">
        <v>20</v>
      </c>
      <c r="B4" t="s">
        <v>32</v>
      </c>
      <c r="C4" s="11" cm="1">
        <f t="array" ref="C4">SUMIFS(Operations[[Amount]:[Amount]],Operations[[Category]:[Category]],summary1[[#This Row],[Category]:[Category]],Operations[[Month]:[Month]],summary1[[#Headers],[1]])</f>
        <v>-85</v>
      </c>
      <c r="D4" s="11" cm="1">
        <f t="array" ref="D4">SUMIFS(Operations[[Amount]:[Amount]],Operations[[Category]:[Category]],summary1[[#This Row],[Category]:[Category]],Operations[[Month]:[Month]],summary1[[#Headers],[2]])</f>
        <v>-350</v>
      </c>
      <c r="E4" s="11" cm="1">
        <f t="array" ref="E4">SUMIFS(Operations[[Amount]:[Amount]],Operations[[Category]:[Category]],summary1[[#This Row],[Category]:[Category]],Operations[[Month]:[Month]],summary1[[#Headers],[3]])</f>
        <v>-200</v>
      </c>
      <c r="F4" s="11" cm="1">
        <f t="array" ref="F4">SUMIFS(Operations[[Amount]:[Amount]],Operations[[Category]:[Category]],summary1[[#This Row],[Category]:[Category]],Operations[[Month]:[Month]],summary1[[#Headers],[4]])</f>
        <v>-1057.9000000000001</v>
      </c>
      <c r="G4" s="11" cm="1">
        <f t="array" ref="G4">SUMIFS(Operations[[Amount]:[Amount]],Operations[[Category]:[Category]],summary1[[#This Row],[Category]:[Category]],Operations[[Month]:[Month]],summary1[[#Headers],[5]])</f>
        <v>-80</v>
      </c>
      <c r="H4" s="11" cm="1">
        <f t="array" ref="H4">SUMIFS(Operations[[Amount]:[Amount]],Operations[[Category]:[Category]],summary1[[#This Row],[Category]:[Category]],Operations[[Month]:[Month]],summary1[[#Headers],[6]])</f>
        <v>-200</v>
      </c>
      <c r="I4" s="11" cm="1">
        <f t="array" ref="I4">SUMIFS(Operations[[Amount]:[Amount]],Operations[[Category]:[Category]],summary1[[#This Row],[Category]:[Category]],Operations[[Month]:[Month]],summary1[[#Headers],[7]])</f>
        <v>-700</v>
      </c>
      <c r="J4" s="11" cm="1">
        <f t="array" ref="J4">SUMIFS(Operations[[Amount]:[Amount]],Operations[[Category]:[Category]],summary1[[#This Row],[Category]:[Category]],Operations[[Month]:[Month]],summary1[[#Headers],[8]])</f>
        <v>-250</v>
      </c>
      <c r="K4" s="11" cm="1">
        <f t="array" ref="K4">SUMIFS(Operations[[Amount]:[Amount]],Operations[[Category]:[Category]],summary1[[#This Row],[Category]:[Category]],Operations[[Month]:[Month]],summary1[[#Headers],[9]])</f>
        <v>-20</v>
      </c>
      <c r="L4" s="11" cm="1">
        <f t="array" ref="L4">SUMIFS(Operations[[Amount]:[Amount]],Operations[[Category]:[Category]],summary1[[#This Row],[Category]:[Category]],Operations[[Month]:[Month]],summary1[[#Headers],[10]])</f>
        <v>-40</v>
      </c>
      <c r="M4" s="11" cm="1">
        <f t="array" ref="M4">SUMIFS(Operations[[Amount]:[Amount]],Operations[[Category]:[Category]],summary1[[#This Row],[Category]:[Category]],Operations[[Month]:[Month]],summary1[[#Headers],[11]])</f>
        <v>-214</v>
      </c>
      <c r="N4" s="11" cm="1">
        <f t="array" ref="N4">SUMIFS(Operations[[Amount]:[Amount]],Operations[[Category]:[Category]],summary1[[#This Row],[Category]:[Category]],Operations[[Month]:[Month]],summary1[[#Headers],[12]])</f>
        <v>-450</v>
      </c>
      <c r="O4" s="11">
        <f>SUM(summary1[[#This Row],[1]:[12]])</f>
        <v>-3646.9</v>
      </c>
    </row>
    <row r="5" spans="1:15" x14ac:dyDescent="0.25">
      <c r="A5" t="s">
        <v>9</v>
      </c>
      <c r="B5" t="s">
        <v>32</v>
      </c>
      <c r="C5" s="11" cm="1">
        <f t="array" ref="C5">SUMIFS(Operations[[Amount]:[Amount]],Operations[[Category]:[Category]],summary1[[#This Row],[Category]:[Category]],Operations[[Month]:[Month]],summary1[[#Headers],[1]])</f>
        <v>-1715</v>
      </c>
      <c r="D5" s="11" cm="1">
        <f t="array" ref="D5">SUMIFS(Operations[[Amount]:[Amount]],Operations[[Category]:[Category]],summary1[[#This Row],[Category]:[Category]],Operations[[Month]:[Month]],summary1[[#Headers],[2]])</f>
        <v>-405.5</v>
      </c>
      <c r="E5" s="11" cm="1">
        <f t="array" ref="E5">SUMIFS(Operations[[Amount]:[Amount]],Operations[[Category]:[Category]],summary1[[#This Row],[Category]:[Category]],Operations[[Month]:[Month]],summary1[[#Headers],[3]])</f>
        <v>-734.99</v>
      </c>
      <c r="F5" s="11" cm="1">
        <f t="array" ref="F5">SUMIFS(Operations[[Amount]:[Amount]],Operations[[Category]:[Category]],summary1[[#This Row],[Category]:[Category]],Operations[[Month]:[Month]],summary1[[#Headers],[4]])</f>
        <v>-372.26</v>
      </c>
      <c r="G5" s="11" cm="1">
        <f t="array" ref="G5">SUMIFS(Operations[[Amount]:[Amount]],Operations[[Category]:[Category]],summary1[[#This Row],[Category]:[Category]],Operations[[Month]:[Month]],summary1[[#Headers],[5]])</f>
        <v>-1000</v>
      </c>
      <c r="H5" s="11" cm="1">
        <f t="array" ref="H5">SUMIFS(Operations[[Amount]:[Amount]],Operations[[Category]:[Category]],summary1[[#This Row],[Category]:[Category]],Operations[[Month]:[Month]],summary1[[#Headers],[6]])</f>
        <v>-1000</v>
      </c>
      <c r="I5" s="11" cm="1">
        <f t="array" ref="I5">SUMIFS(Operations[[Amount]:[Amount]],Operations[[Category]:[Category]],summary1[[#This Row],[Category]:[Category]],Operations[[Month]:[Month]],summary1[[#Headers],[7]])</f>
        <v>-165</v>
      </c>
      <c r="J5" s="11" cm="1">
        <f t="array" ref="J5">SUMIFS(Operations[[Amount]:[Amount]],Operations[[Category]:[Category]],summary1[[#This Row],[Category]:[Category]],Operations[[Month]:[Month]],summary1[[#Headers],[8]])</f>
        <v>-749.5</v>
      </c>
      <c r="K5" s="11" cm="1">
        <f t="array" ref="K5">SUMIFS(Operations[[Amount]:[Amount]],Operations[[Category]:[Category]],summary1[[#This Row],[Category]:[Category]],Operations[[Month]:[Month]],summary1[[#Headers],[9]])</f>
        <v>-538.5</v>
      </c>
      <c r="L5" s="11" cm="1">
        <f t="array" ref="L5">SUMIFS(Operations[[Amount]:[Amount]],Operations[[Category]:[Category]],summary1[[#This Row],[Category]:[Category]],Operations[[Month]:[Month]],summary1[[#Headers],[10]])</f>
        <v>-600</v>
      </c>
      <c r="M5" s="11" cm="1">
        <f t="array" ref="M5">SUMIFS(Operations[[Amount]:[Amount]],Operations[[Category]:[Category]],summary1[[#This Row],[Category]:[Category]],Operations[[Month]:[Month]],summary1[[#Headers],[11]])</f>
        <v>-506</v>
      </c>
      <c r="N5" s="11" cm="1">
        <f t="array" ref="N5">SUMIFS(Operations[[Amount]:[Amount]],Operations[[Category]:[Category]],summary1[[#This Row],[Category]:[Category]],Operations[[Month]:[Month]],summary1[[#Headers],[12]])</f>
        <v>-700</v>
      </c>
      <c r="O5" s="11">
        <f>SUM(summary1[[#This Row],[1]:[12]])</f>
        <v>-8486.75</v>
      </c>
    </row>
    <row r="6" spans="1:15" x14ac:dyDescent="0.25">
      <c r="A6" t="s">
        <v>28</v>
      </c>
      <c r="B6" t="s">
        <v>32</v>
      </c>
      <c r="C6" s="11" cm="1">
        <f t="array" ref="C6">SUMIFS(Operations[[Amount]:[Amount]],Operations[[Category]:[Category]],summary1[[#This Row],[Category]:[Category]],Operations[[Month]:[Month]],summary1[[#Headers],[1]])</f>
        <v>-100</v>
      </c>
      <c r="D6" s="11" cm="1">
        <f t="array" ref="D6">SUMIFS(Operations[[Amount]:[Amount]],Operations[[Category]:[Category]],summary1[[#This Row],[Category]:[Category]],Operations[[Month]:[Month]],summary1[[#Headers],[2]])</f>
        <v>-250</v>
      </c>
      <c r="E6" s="11" cm="1">
        <f t="array" ref="E6">SUMIFS(Operations[[Amount]:[Amount]],Operations[[Category]:[Category]],summary1[[#This Row],[Category]:[Category]],Operations[[Month]:[Month]],summary1[[#Headers],[3]])</f>
        <v>-9.5</v>
      </c>
      <c r="F6" s="11" cm="1">
        <f t="array" ref="F6">SUMIFS(Operations[[Amount]:[Amount]],Operations[[Category]:[Category]],summary1[[#This Row],[Category]:[Category]],Operations[[Month]:[Month]],summary1[[#Headers],[4]])</f>
        <v>-23.5</v>
      </c>
      <c r="G6" s="11" cm="1">
        <f t="array" ref="G6">SUMIFS(Operations[[Amount]:[Amount]],Operations[[Category]:[Category]],summary1[[#This Row],[Category]:[Category]],Operations[[Month]:[Month]],summary1[[#Headers],[5]])</f>
        <v>0</v>
      </c>
      <c r="H6" s="11" cm="1">
        <f t="array" ref="H6">SUMIFS(Operations[[Amount]:[Amount]],Operations[[Category]:[Category]],summary1[[#This Row],[Category]:[Category]],Operations[[Month]:[Month]],summary1[[#Headers],[6]])</f>
        <v>-100</v>
      </c>
      <c r="I6" s="11" cm="1">
        <f t="array" ref="I6">SUMIFS(Operations[[Amount]:[Amount]],Operations[[Category]:[Category]],summary1[[#This Row],[Category]:[Category]],Operations[[Month]:[Month]],summary1[[#Headers],[7]])</f>
        <v>-300</v>
      </c>
      <c r="J6" s="11" cm="1">
        <f t="array" ref="J6">SUMIFS(Operations[[Amount]:[Amount]],Operations[[Category]:[Category]],summary1[[#This Row],[Category]:[Category]],Operations[[Month]:[Month]],summary1[[#Headers],[8]])</f>
        <v>-400</v>
      </c>
      <c r="K6" s="11" cm="1">
        <f t="array" ref="K6">SUMIFS(Operations[[Amount]:[Amount]],Operations[[Category]:[Category]],summary1[[#This Row],[Category]:[Category]],Operations[[Month]:[Month]],summary1[[#Headers],[9]])</f>
        <v>0</v>
      </c>
      <c r="L6" s="11" cm="1">
        <f t="array" ref="L6">SUMIFS(Operations[[Amount]:[Amount]],Operations[[Category]:[Category]],summary1[[#This Row],[Category]:[Category]],Operations[[Month]:[Month]],summary1[[#Headers],[10]])</f>
        <v>0</v>
      </c>
      <c r="M6" s="11" cm="1">
        <f t="array" ref="M6">SUMIFS(Operations[[Amount]:[Amount]],Operations[[Category]:[Category]],summary1[[#This Row],[Category]:[Category]],Operations[[Month]:[Month]],summary1[[#Headers],[11]])</f>
        <v>-133</v>
      </c>
      <c r="N6" s="11" cm="1">
        <f t="array" ref="N6">SUMIFS(Operations[[Amount]:[Amount]],Operations[[Category]:[Category]],summary1[[#This Row],[Category]:[Category]],Operations[[Month]:[Month]],summary1[[#Headers],[12]])</f>
        <v>-10</v>
      </c>
      <c r="O6" s="11">
        <f>SUM(summary1[[#This Row],[1]:[12]])</f>
        <v>-1326</v>
      </c>
    </row>
    <row r="7" spans="1:15" x14ac:dyDescent="0.25">
      <c r="A7" t="s">
        <v>14</v>
      </c>
      <c r="B7" t="s">
        <v>32</v>
      </c>
      <c r="C7" s="11" cm="1">
        <f t="array" ref="C7">SUMIFS(Operations[[Amount]:[Amount]],Operations[[Category]:[Category]],summary1[[#This Row],[Category]:[Category]],Operations[[Month]:[Month]],summary1[[#Headers],[1]])</f>
        <v>-150</v>
      </c>
      <c r="D7" s="11" cm="1">
        <f t="array" ref="D7">SUMIFS(Operations[[Amount]:[Amount]],Operations[[Category]:[Category]],summary1[[#This Row],[Category]:[Category]],Operations[[Month]:[Month]],summary1[[#Headers],[2]])</f>
        <v>-150</v>
      </c>
      <c r="E7" s="11" cm="1">
        <f t="array" ref="E7">SUMIFS(Operations[[Amount]:[Amount]],Operations[[Category]:[Category]],summary1[[#This Row],[Category]:[Category]],Operations[[Month]:[Month]],summary1[[#Headers],[3]])</f>
        <v>-23</v>
      </c>
      <c r="F7" s="11" cm="1">
        <f t="array" ref="F7">SUMIFS(Operations[[Amount]:[Amount]],Operations[[Category]:[Category]],summary1[[#This Row],[Category]:[Category]],Operations[[Month]:[Month]],summary1[[#Headers],[4]])</f>
        <v>-49</v>
      </c>
      <c r="G7" s="11" cm="1">
        <f t="array" ref="G7">SUMIFS(Operations[[Amount]:[Amount]],Operations[[Category]:[Category]],summary1[[#This Row],[Category]:[Category]],Operations[[Month]:[Month]],summary1[[#Headers],[5]])</f>
        <v>-50</v>
      </c>
      <c r="H7" s="11" cm="1">
        <f t="array" ref="H7">SUMIFS(Operations[[Amount]:[Amount]],Operations[[Category]:[Category]],summary1[[#This Row],[Category]:[Category]],Operations[[Month]:[Month]],summary1[[#Headers],[6]])</f>
        <v>-50</v>
      </c>
      <c r="I7" s="11" cm="1">
        <f t="array" ref="I7">SUMIFS(Operations[[Amount]:[Amount]],Operations[[Category]:[Category]],summary1[[#This Row],[Category]:[Category]],Operations[[Month]:[Month]],summary1[[#Headers],[7]])</f>
        <v>0</v>
      </c>
      <c r="J7" s="11" cm="1">
        <f t="array" ref="J7">SUMIFS(Operations[[Amount]:[Amount]],Operations[[Category]:[Category]],summary1[[#This Row],[Category]:[Category]],Operations[[Month]:[Month]],summary1[[#Headers],[8]])</f>
        <v>0</v>
      </c>
      <c r="K7" s="11" cm="1">
        <f t="array" ref="K7">SUMIFS(Operations[[Amount]:[Amount]],Operations[[Category]:[Category]],summary1[[#This Row],[Category]:[Category]],Operations[[Month]:[Month]],summary1[[#Headers],[9]])</f>
        <v>-40</v>
      </c>
      <c r="L7" s="11" cm="1">
        <f t="array" ref="L7">SUMIFS(Operations[[Amount]:[Amount]],Operations[[Category]:[Category]],summary1[[#This Row],[Category]:[Category]],Operations[[Month]:[Month]],summary1[[#Headers],[10]])</f>
        <v>-40</v>
      </c>
      <c r="M7" s="11" cm="1">
        <f t="array" ref="M7">SUMIFS(Operations[[Amount]:[Amount]],Operations[[Category]:[Category]],summary1[[#This Row],[Category]:[Category]],Operations[[Month]:[Month]],summary1[[#Headers],[11]])</f>
        <v>-47</v>
      </c>
      <c r="N7" s="11" cm="1">
        <f t="array" ref="N7">SUMIFS(Operations[[Amount]:[Amount]],Operations[[Category]:[Category]],summary1[[#This Row],[Category]:[Category]],Operations[[Month]:[Month]],summary1[[#Headers],[12]])</f>
        <v>0</v>
      </c>
      <c r="O7" s="11">
        <f>SUM(summary1[[#This Row],[1]:[12]])</f>
        <v>-599</v>
      </c>
    </row>
    <row r="8" spans="1:15" x14ac:dyDescent="0.25">
      <c r="A8" t="s">
        <v>17</v>
      </c>
      <c r="B8" t="s">
        <v>32</v>
      </c>
      <c r="C8" s="11" cm="1">
        <f t="array" ref="C8">SUMIFS(Operations[[Amount]:[Amount]],Operations[[Category]:[Category]],summary1[[#This Row],[Category]:[Category]],Operations[[Month]:[Month]],summary1[[#Headers],[1]])</f>
        <v>-500</v>
      </c>
      <c r="D8" s="11" cm="1">
        <f t="array" ref="D8">SUMIFS(Operations[[Amount]:[Amount]],Operations[[Category]:[Category]],summary1[[#This Row],[Category]:[Category]],Operations[[Month]:[Month]],summary1[[#Headers],[2]])</f>
        <v>-765</v>
      </c>
      <c r="E8" s="11" cm="1">
        <f t="array" ref="E8">SUMIFS(Operations[[Amount]:[Amount]],Operations[[Category]:[Category]],summary1[[#This Row],[Category]:[Category]],Operations[[Month]:[Month]],summary1[[#Headers],[3]])</f>
        <v>-300</v>
      </c>
      <c r="F8" s="11" cm="1">
        <f t="array" ref="F8">SUMIFS(Operations[[Amount]:[Amount]],Operations[[Category]:[Category]],summary1[[#This Row],[Category]:[Category]],Operations[[Month]:[Month]],summary1[[#Headers],[4]])</f>
        <v>-100</v>
      </c>
      <c r="G8" s="11" cm="1">
        <f t="array" ref="G8">SUMIFS(Operations[[Amount]:[Amount]],Operations[[Category]:[Category]],summary1[[#This Row],[Category]:[Category]],Operations[[Month]:[Month]],summary1[[#Headers],[5]])</f>
        <v>0</v>
      </c>
      <c r="H8" s="11" cm="1">
        <f t="array" ref="H8">SUMIFS(Operations[[Amount]:[Amount]],Operations[[Category]:[Category]],summary1[[#This Row],[Category]:[Category]],Operations[[Month]:[Month]],summary1[[#Headers],[6]])</f>
        <v>0</v>
      </c>
      <c r="I8" s="11" cm="1">
        <f t="array" ref="I8">SUMIFS(Operations[[Amount]:[Amount]],Operations[[Category]:[Category]],summary1[[#This Row],[Category]:[Category]],Operations[[Month]:[Month]],summary1[[#Headers],[7]])</f>
        <v>0</v>
      </c>
      <c r="J8" s="11" cm="1">
        <f t="array" ref="J8">SUMIFS(Operations[[Amount]:[Amount]],Operations[[Category]:[Category]],summary1[[#This Row],[Category]:[Category]],Operations[[Month]:[Month]],summary1[[#Headers],[8]])</f>
        <v>0</v>
      </c>
      <c r="K8" s="11" cm="1">
        <f t="array" ref="K8">SUMIFS(Operations[[Amount]:[Amount]],Operations[[Category]:[Category]],summary1[[#This Row],[Category]:[Category]],Operations[[Month]:[Month]],summary1[[#Headers],[9]])</f>
        <v>0</v>
      </c>
      <c r="L8" s="11" cm="1">
        <f t="array" ref="L8">SUMIFS(Operations[[Amount]:[Amount]],Operations[[Category]:[Category]],summary1[[#This Row],[Category]:[Category]],Operations[[Month]:[Month]],summary1[[#Headers],[10]])</f>
        <v>0</v>
      </c>
      <c r="M8" s="11" cm="1">
        <f t="array" ref="M8">SUMIFS(Operations[[Amount]:[Amount]],Operations[[Category]:[Category]],summary1[[#This Row],[Category]:[Category]],Operations[[Month]:[Month]],summary1[[#Headers],[11]])</f>
        <v>-234</v>
      </c>
      <c r="N8" s="11" cm="1">
        <f t="array" ref="N8">SUMIFS(Operations[[Amount]:[Amount]],Operations[[Category]:[Category]],summary1[[#This Row],[Category]:[Category]],Operations[[Month]:[Month]],summary1[[#Headers],[12]])</f>
        <v>-700</v>
      </c>
      <c r="O8" s="11">
        <f>SUM(summary1[[#This Row],[1]:[12]])</f>
        <v>-2599</v>
      </c>
    </row>
    <row r="9" spans="1:15" x14ac:dyDescent="0.25">
      <c r="A9" t="s">
        <v>23</v>
      </c>
      <c r="B9" t="s">
        <v>32</v>
      </c>
      <c r="C9" s="11" cm="1">
        <f t="array" ref="C9">SUMIFS(Operations[[Amount]:[Amount]],Operations[[Category]:[Category]],summary1[[#This Row],[Category]:[Category]],Operations[[Month]:[Month]],summary1[[#Headers],[1]])</f>
        <v>-100</v>
      </c>
      <c r="D9" s="11" cm="1">
        <f t="array" ref="D9">SUMIFS(Operations[[Amount]:[Amount]],Operations[[Category]:[Category]],summary1[[#This Row],[Category]:[Category]],Operations[[Month]:[Month]],summary1[[#Headers],[2]])</f>
        <v>-100</v>
      </c>
      <c r="E9" s="11" cm="1">
        <f t="array" ref="E9">SUMIFS(Operations[[Amount]:[Amount]],Operations[[Category]:[Category]],summary1[[#This Row],[Category]:[Category]],Operations[[Month]:[Month]],summary1[[#Headers],[3]])</f>
        <v>-79.5</v>
      </c>
      <c r="F9" s="11" cm="1">
        <f t="array" ref="F9">SUMIFS(Operations[[Amount]:[Amount]],Operations[[Category]:[Category]],summary1[[#This Row],[Category]:[Category]],Operations[[Month]:[Month]],summary1[[#Headers],[4]])</f>
        <v>-139</v>
      </c>
      <c r="G9" s="11" cm="1">
        <f t="array" ref="G9">SUMIFS(Operations[[Amount]:[Amount]],Operations[[Category]:[Category]],summary1[[#This Row],[Category]:[Category]],Operations[[Month]:[Month]],summary1[[#Headers],[5]])</f>
        <v>0</v>
      </c>
      <c r="H9" s="11" cm="1">
        <f t="array" ref="H9">SUMIFS(Operations[[Amount]:[Amount]],Operations[[Category]:[Category]],summary1[[#This Row],[Category]:[Category]],Operations[[Month]:[Month]],summary1[[#Headers],[6]])</f>
        <v>0</v>
      </c>
      <c r="I9" s="11" cm="1">
        <f t="array" ref="I9">SUMIFS(Operations[[Amount]:[Amount]],Operations[[Category]:[Category]],summary1[[#This Row],[Category]:[Category]],Operations[[Month]:[Month]],summary1[[#Headers],[7]])</f>
        <v>0</v>
      </c>
      <c r="J9" s="11" cm="1">
        <f t="array" ref="J9">SUMIFS(Operations[[Amount]:[Amount]],Operations[[Category]:[Category]],summary1[[#This Row],[Category]:[Category]],Operations[[Month]:[Month]],summary1[[#Headers],[8]])</f>
        <v>0</v>
      </c>
      <c r="K9" s="11" cm="1">
        <f t="array" ref="K9">SUMIFS(Operations[[Amount]:[Amount]],Operations[[Category]:[Category]],summary1[[#This Row],[Category]:[Category]],Operations[[Month]:[Month]],summary1[[#Headers],[9]])</f>
        <v>0</v>
      </c>
      <c r="L9" s="11" cm="1">
        <f t="array" ref="L9">SUMIFS(Operations[[Amount]:[Amount]],Operations[[Category]:[Category]],summary1[[#This Row],[Category]:[Category]],Operations[[Month]:[Month]],summary1[[#Headers],[10]])</f>
        <v>0</v>
      </c>
      <c r="M9" s="11" cm="1">
        <f t="array" ref="M9">SUMIFS(Operations[[Amount]:[Amount]],Operations[[Category]:[Category]],summary1[[#This Row],[Category]:[Category]],Operations[[Month]:[Month]],summary1[[#Headers],[11]])</f>
        <v>0</v>
      </c>
      <c r="N9" s="11" cm="1">
        <f t="array" ref="N9">SUMIFS(Operations[[Amount]:[Amount]],Operations[[Category]:[Category]],summary1[[#This Row],[Category]:[Category]],Operations[[Month]:[Month]],summary1[[#Headers],[12]])</f>
        <v>-100</v>
      </c>
      <c r="O9" s="11">
        <f>SUM(summary1[[#This Row],[1]:[12]])</f>
        <v>-518.5</v>
      </c>
    </row>
    <row r="10" spans="1:15" x14ac:dyDescent="0.25">
      <c r="A10" t="s">
        <v>21</v>
      </c>
      <c r="B10" t="s">
        <v>32</v>
      </c>
      <c r="C10" s="11" cm="1">
        <f t="array" ref="C10">SUMIFS(Operations[[Amount]:[Amount]],Operations[[Category]:[Category]],summary1[[#This Row],[Category]:[Category]],Operations[[Month]:[Month]],summary1[[#Headers],[1]])</f>
        <v>-80</v>
      </c>
      <c r="D10" s="11" cm="1">
        <f t="array" ref="D10">SUMIFS(Operations[[Amount]:[Amount]],Operations[[Category]:[Category]],summary1[[#This Row],[Category]:[Category]],Operations[[Month]:[Month]],summary1[[#Headers],[2]])</f>
        <v>-80</v>
      </c>
      <c r="E10" s="11" cm="1">
        <f t="array" ref="E10">SUMIFS(Operations[[Amount]:[Amount]],Operations[[Category]:[Category]],summary1[[#This Row],[Category]:[Category]],Operations[[Month]:[Month]],summary1[[#Headers],[3]])</f>
        <v>-82.5</v>
      </c>
      <c r="F10" s="11" cm="1">
        <f t="array" ref="F10">SUMIFS(Operations[[Amount]:[Amount]],Operations[[Category]:[Category]],summary1[[#This Row],[Category]:[Category]],Operations[[Month]:[Month]],summary1[[#Headers],[4]])</f>
        <v>-82.5</v>
      </c>
      <c r="G10" s="11" cm="1">
        <f t="array" ref="G10">SUMIFS(Operations[[Amount]:[Amount]],Operations[[Category]:[Category]],summary1[[#This Row],[Category]:[Category]],Operations[[Month]:[Month]],summary1[[#Headers],[5]])</f>
        <v>-80</v>
      </c>
      <c r="H10" s="11" cm="1">
        <f t="array" ref="H10">SUMIFS(Operations[[Amount]:[Amount]],Operations[[Category]:[Category]],summary1[[#This Row],[Category]:[Category]],Operations[[Month]:[Month]],summary1[[#Headers],[6]])</f>
        <v>-80</v>
      </c>
      <c r="I10" s="11" cm="1">
        <f t="array" ref="I10">SUMIFS(Operations[[Amount]:[Amount]],Operations[[Category]:[Category]],summary1[[#This Row],[Category]:[Category]],Operations[[Month]:[Month]],summary1[[#Headers],[7]])</f>
        <v>-90</v>
      </c>
      <c r="J10" s="11" cm="1">
        <f t="array" ref="J10">SUMIFS(Operations[[Amount]:[Amount]],Operations[[Category]:[Category]],summary1[[#This Row],[Category]:[Category]],Operations[[Month]:[Month]],summary1[[#Headers],[8]])</f>
        <v>-290</v>
      </c>
      <c r="K10" s="11" cm="1">
        <f t="array" ref="K10">SUMIFS(Operations[[Amount]:[Amount]],Operations[[Category]:[Category]],summary1[[#This Row],[Category]:[Category]],Operations[[Month]:[Month]],summary1[[#Headers],[9]])</f>
        <v>-150</v>
      </c>
      <c r="L10" s="11" cm="1">
        <f t="array" ref="L10">SUMIFS(Operations[[Amount]:[Amount]],Operations[[Category]:[Category]],summary1[[#This Row],[Category]:[Category]],Operations[[Month]:[Month]],summary1[[#Headers],[10]])</f>
        <v>-150</v>
      </c>
      <c r="M10" s="11" cm="1">
        <f t="array" ref="M10">SUMIFS(Operations[[Amount]:[Amount]],Operations[[Category]:[Category]],summary1[[#This Row],[Category]:[Category]],Operations[[Month]:[Month]],summary1[[#Headers],[11]])</f>
        <v>-208</v>
      </c>
      <c r="N10" s="11" cm="1">
        <f t="array" ref="N10">SUMIFS(Operations[[Amount]:[Amount]],Operations[[Category]:[Category]],summary1[[#This Row],[Category]:[Category]],Operations[[Month]:[Month]],summary1[[#Headers],[12]])</f>
        <v>0</v>
      </c>
      <c r="O10" s="11">
        <f>SUM(summary1[[#This Row],[1]:[12]])</f>
        <v>-1373</v>
      </c>
    </row>
    <row r="11" spans="1:15" x14ac:dyDescent="0.25">
      <c r="A11" t="s">
        <v>19</v>
      </c>
      <c r="B11" t="s">
        <v>33</v>
      </c>
      <c r="C11" s="11" cm="1">
        <f t="array" ref="C11">SUMIFS(Operations[[Amount]:[Amount]],Operations[[Category]:[Category]],summary1[[#This Row],[Category]:[Category]],Operations[[Month]:[Month]],summary1[[#Headers],[1]])</f>
        <v>250</v>
      </c>
      <c r="D11" s="11" cm="1">
        <f t="array" ref="D11">SUMIFS(Operations[[Amount]:[Amount]],Operations[[Category]:[Category]],summary1[[#This Row],[Category]:[Category]],Operations[[Month]:[Month]],summary1[[#Headers],[2]])</f>
        <v>0</v>
      </c>
      <c r="E11" s="11" cm="1">
        <f t="array" ref="E11">SUMIFS(Operations[[Amount]:[Amount]],Operations[[Category]:[Category]],summary1[[#This Row],[Category]:[Category]],Operations[[Month]:[Month]],summary1[[#Headers],[3]])</f>
        <v>0</v>
      </c>
      <c r="F11" s="11" cm="1">
        <f t="array" ref="F11">SUMIFS(Operations[[Amount]:[Amount]],Operations[[Category]:[Category]],summary1[[#This Row],[Category]:[Category]],Operations[[Month]:[Month]],summary1[[#Headers],[4]])</f>
        <v>0</v>
      </c>
      <c r="G11" s="11" cm="1">
        <f t="array" ref="G11">SUMIFS(Operations[[Amount]:[Amount]],Operations[[Category]:[Category]],summary1[[#This Row],[Category]:[Category]],Operations[[Month]:[Month]],summary1[[#Headers],[5]])</f>
        <v>0</v>
      </c>
      <c r="H11" s="11" cm="1">
        <f t="array" ref="H11">SUMIFS(Operations[[Amount]:[Amount]],Operations[[Category]:[Category]],summary1[[#This Row],[Category]:[Category]],Operations[[Month]:[Month]],summary1[[#Headers],[6]])</f>
        <v>400</v>
      </c>
      <c r="I11" s="11" cm="1">
        <f t="array" ref="I11">SUMIFS(Operations[[Amount]:[Amount]],Operations[[Category]:[Category]],summary1[[#This Row],[Category]:[Category]],Operations[[Month]:[Month]],summary1[[#Headers],[7]])</f>
        <v>0</v>
      </c>
      <c r="J11" s="11" cm="1">
        <f t="array" ref="J11">SUMIFS(Operations[[Amount]:[Amount]],Operations[[Category]:[Category]],summary1[[#This Row],[Category]:[Category]],Operations[[Month]:[Month]],summary1[[#Headers],[8]])</f>
        <v>0</v>
      </c>
      <c r="K11" s="11" cm="1">
        <f t="array" ref="K11">SUMIFS(Operations[[Amount]:[Amount]],Operations[[Category]:[Category]],summary1[[#This Row],[Category]:[Category]],Operations[[Month]:[Month]],summary1[[#Headers],[9]])</f>
        <v>0</v>
      </c>
      <c r="L11" s="11" cm="1">
        <f t="array" ref="L11">SUMIFS(Operations[[Amount]:[Amount]],Operations[[Category]:[Category]],summary1[[#This Row],[Category]:[Category]],Operations[[Month]:[Month]],summary1[[#Headers],[10]])</f>
        <v>0</v>
      </c>
      <c r="M11" s="11" cm="1">
        <f t="array" ref="M11">SUMIFS(Operations[[Amount]:[Amount]],Operations[[Category]:[Category]],summary1[[#This Row],[Category]:[Category]],Operations[[Month]:[Month]],summary1[[#Headers],[11]])</f>
        <v>0</v>
      </c>
      <c r="N11" s="11" cm="1">
        <f t="array" ref="N11">SUMIFS(Operations[[Amount]:[Amount]],Operations[[Category]:[Category]],summary1[[#This Row],[Category]:[Category]],Operations[[Month]:[Month]],summary1[[#Headers],[12]])</f>
        <v>0</v>
      </c>
      <c r="O11" s="11">
        <f>SUM(summary1[[#This Row],[1]:[12]])</f>
        <v>650</v>
      </c>
    </row>
    <row r="12" spans="1:15" x14ac:dyDescent="0.25">
      <c r="A12" t="s">
        <v>27</v>
      </c>
      <c r="B12" t="s">
        <v>33</v>
      </c>
      <c r="C12" s="11" cm="1">
        <f t="array" ref="C12">SUMIFS(Operations[[Amount]:[Amount]],Operations[[Category]:[Category]],summary1[[#This Row],[Category]:[Category]],Operations[[Month]:[Month]],summary1[[#Headers],[1]])</f>
        <v>105.5</v>
      </c>
      <c r="D12" s="11" cm="1">
        <f t="array" ref="D12">SUMIFS(Operations[[Amount]:[Amount]],Operations[[Category]:[Category]],summary1[[#This Row],[Category]:[Category]],Operations[[Month]:[Month]],summary1[[#Headers],[2]])</f>
        <v>115</v>
      </c>
      <c r="E12" s="11" cm="1">
        <f t="array" ref="E12">SUMIFS(Operations[[Amount]:[Amount]],Operations[[Category]:[Category]],summary1[[#This Row],[Category]:[Category]],Operations[[Month]:[Month]],summary1[[#Headers],[3]])</f>
        <v>150</v>
      </c>
      <c r="F12" s="11" cm="1">
        <f t="array" ref="F12">SUMIFS(Operations[[Amount]:[Amount]],Operations[[Category]:[Category]],summary1[[#This Row],[Category]:[Category]],Operations[[Month]:[Month]],summary1[[#Headers],[4]])</f>
        <v>150</v>
      </c>
      <c r="G12" s="11" cm="1">
        <f t="array" ref="G12">SUMIFS(Operations[[Amount]:[Amount]],Operations[[Category]:[Category]],summary1[[#This Row],[Category]:[Category]],Operations[[Month]:[Month]],summary1[[#Headers],[5]])</f>
        <v>0</v>
      </c>
      <c r="H12" s="11" cm="1">
        <f t="array" ref="H12">SUMIFS(Operations[[Amount]:[Amount]],Operations[[Category]:[Category]],summary1[[#This Row],[Category]:[Category]],Operations[[Month]:[Month]],summary1[[#Headers],[6]])</f>
        <v>0</v>
      </c>
      <c r="I12" s="11" cm="1">
        <f t="array" ref="I12">SUMIFS(Operations[[Amount]:[Amount]],Operations[[Category]:[Category]],summary1[[#This Row],[Category]:[Category]],Operations[[Month]:[Month]],summary1[[#Headers],[7]])</f>
        <v>120</v>
      </c>
      <c r="J12" s="11" cm="1">
        <f t="array" ref="J12">SUMIFS(Operations[[Amount]:[Amount]],Operations[[Category]:[Category]],summary1[[#This Row],[Category]:[Category]],Operations[[Month]:[Month]],summary1[[#Headers],[8]])</f>
        <v>0</v>
      </c>
      <c r="K12" s="11" cm="1">
        <f t="array" ref="K12">SUMIFS(Operations[[Amount]:[Amount]],Operations[[Category]:[Category]],summary1[[#This Row],[Category]:[Category]],Operations[[Month]:[Month]],summary1[[#Headers],[9]])</f>
        <v>0</v>
      </c>
      <c r="L12" s="11" cm="1">
        <f t="array" ref="L12">SUMIFS(Operations[[Amount]:[Amount]],Operations[[Category]:[Category]],summary1[[#This Row],[Category]:[Category]],Operations[[Month]:[Month]],summary1[[#Headers],[10]])</f>
        <v>0</v>
      </c>
      <c r="M12" s="11" cm="1">
        <f t="array" ref="M12">SUMIFS(Operations[[Amount]:[Amount]],Operations[[Category]:[Category]],summary1[[#This Row],[Category]:[Category]],Operations[[Month]:[Month]],summary1[[#Headers],[11]])</f>
        <v>0</v>
      </c>
      <c r="N12" s="11" cm="1">
        <f t="array" ref="N12">SUMIFS(Operations[[Amount]:[Amount]],Operations[[Category]:[Category]],summary1[[#This Row],[Category]:[Category]],Operations[[Month]:[Month]],summary1[[#Headers],[12]])</f>
        <v>0</v>
      </c>
      <c r="O12" s="11">
        <f>SUM(summary1[[#This Row],[1]:[12]])</f>
        <v>640.5</v>
      </c>
    </row>
    <row r="13" spans="1:15" x14ac:dyDescent="0.25">
      <c r="A13" t="s">
        <v>30</v>
      </c>
      <c r="B13" t="s">
        <v>33</v>
      </c>
      <c r="C13" s="11" cm="1">
        <f t="array" ref="C13">SUMIFS(Operations[[Amount]:[Amount]],Operations[[Category]:[Category]],summary1[[#This Row],[Category]:[Category]],Operations[[Month]:[Month]],summary1[[#Headers],[1]])</f>
        <v>0</v>
      </c>
      <c r="D13" s="11" cm="1">
        <f t="array" ref="D13">SUMIFS(Operations[[Amount]:[Amount]],Operations[[Category]:[Category]],summary1[[#This Row],[Category]:[Category]],Operations[[Month]:[Month]],summary1[[#Headers],[2]])</f>
        <v>0</v>
      </c>
      <c r="E13" s="11" cm="1">
        <f t="array" ref="E13">SUMIFS(Operations[[Amount]:[Amount]],Operations[[Category]:[Category]],summary1[[#This Row],[Category]:[Category]],Operations[[Month]:[Month]],summary1[[#Headers],[3]])</f>
        <v>5</v>
      </c>
      <c r="F13" s="11" cm="1">
        <f t="array" ref="F13">SUMIFS(Operations[[Amount]:[Amount]],Operations[[Category]:[Category]],summary1[[#This Row],[Category]:[Category]],Operations[[Month]:[Month]],summary1[[#Headers],[4]])</f>
        <v>50</v>
      </c>
      <c r="G13" s="11" cm="1">
        <f t="array" ref="G13">SUMIFS(Operations[[Amount]:[Amount]],Operations[[Category]:[Category]],summary1[[#This Row],[Category]:[Category]],Operations[[Month]:[Month]],summary1[[#Headers],[5]])</f>
        <v>0</v>
      </c>
      <c r="H13" s="11" cm="1">
        <f t="array" ref="H13">SUMIFS(Operations[[Amount]:[Amount]],Operations[[Category]:[Category]],summary1[[#This Row],[Category]:[Category]],Operations[[Month]:[Month]],summary1[[#Headers],[6]])</f>
        <v>0</v>
      </c>
      <c r="I13" s="11" cm="1">
        <f t="array" ref="I13">SUMIFS(Operations[[Amount]:[Amount]],Operations[[Category]:[Category]],summary1[[#This Row],[Category]:[Category]],Operations[[Month]:[Month]],summary1[[#Headers],[7]])</f>
        <v>800</v>
      </c>
      <c r="J13" s="11" cm="1">
        <f t="array" ref="J13">SUMIFS(Operations[[Amount]:[Amount]],Operations[[Category]:[Category]],summary1[[#This Row],[Category]:[Category]],Operations[[Month]:[Month]],summary1[[#Headers],[8]])</f>
        <v>400</v>
      </c>
      <c r="K13" s="11" cm="1">
        <f t="array" ref="K13">SUMIFS(Operations[[Amount]:[Amount]],Operations[[Category]:[Category]],summary1[[#This Row],[Category]:[Category]],Operations[[Month]:[Month]],summary1[[#Headers],[9]])</f>
        <v>0</v>
      </c>
      <c r="L13" s="11" cm="1">
        <f t="array" ref="L13">SUMIFS(Operations[[Amount]:[Amount]],Operations[[Category]:[Category]],summary1[[#This Row],[Category]:[Category]],Operations[[Month]:[Month]],summary1[[#Headers],[10]])</f>
        <v>0</v>
      </c>
      <c r="M13" s="11" cm="1">
        <f t="array" ref="M13">SUMIFS(Operations[[Amount]:[Amount]],Operations[[Category]:[Category]],summary1[[#This Row],[Category]:[Category]],Operations[[Month]:[Month]],summary1[[#Headers],[11]])</f>
        <v>400</v>
      </c>
      <c r="N13" s="11" cm="1">
        <f t="array" ref="N13">SUMIFS(Operations[[Amount]:[Amount]],Operations[[Category]:[Category]],summary1[[#This Row],[Category]:[Category]],Operations[[Month]:[Month]],summary1[[#Headers],[12]])</f>
        <v>2000</v>
      </c>
      <c r="O13" s="11">
        <f>SUM(summary1[[#This Row],[1]:[12]])</f>
        <v>3655</v>
      </c>
    </row>
    <row r="14" spans="1:15" x14ac:dyDescent="0.25">
      <c r="A14" t="s">
        <v>15</v>
      </c>
      <c r="B14" t="s">
        <v>33</v>
      </c>
      <c r="C14" s="11" cm="1">
        <f t="array" ref="C14">SUMIFS(Operations[[Amount]:[Amount]],Operations[[Category]:[Category]],summary1[[#This Row],[Category]:[Category]],Operations[[Month]:[Month]],summary1[[#Headers],[1]])</f>
        <v>800</v>
      </c>
      <c r="D14" s="11" cm="1">
        <f t="array" ref="D14">SUMIFS(Operations[[Amount]:[Amount]],Operations[[Category]:[Category]],summary1[[#This Row],[Category]:[Category]],Operations[[Month]:[Month]],summary1[[#Headers],[2]])</f>
        <v>1950</v>
      </c>
      <c r="E14" s="11" cm="1">
        <f t="array" ref="E14">SUMIFS(Operations[[Amount]:[Amount]],Operations[[Category]:[Category]],summary1[[#This Row],[Category]:[Category]],Operations[[Month]:[Month]],summary1[[#Headers],[3]])</f>
        <v>0</v>
      </c>
      <c r="F14" s="11" cm="1">
        <f t="array" ref="F14">SUMIFS(Operations[[Amount]:[Amount]],Operations[[Category]:[Category]],summary1[[#This Row],[Category]:[Category]],Operations[[Month]:[Month]],summary1[[#Headers],[4]])</f>
        <v>0</v>
      </c>
      <c r="G14" s="11" cm="1">
        <f t="array" ref="G14">SUMIFS(Operations[[Amount]:[Amount]],Operations[[Category]:[Category]],summary1[[#This Row],[Category]:[Category]],Operations[[Month]:[Month]],summary1[[#Headers],[5]])</f>
        <v>0</v>
      </c>
      <c r="H14" s="11" cm="1">
        <f t="array" ref="H14">SUMIFS(Operations[[Amount]:[Amount]],Operations[[Category]:[Category]],summary1[[#This Row],[Category]:[Category]],Operations[[Month]:[Month]],summary1[[#Headers],[6]])</f>
        <v>0</v>
      </c>
      <c r="I14" s="11" cm="1">
        <f t="array" ref="I14">SUMIFS(Operations[[Amount]:[Amount]],Operations[[Category]:[Category]],summary1[[#This Row],[Category]:[Category]],Operations[[Month]:[Month]],summary1[[#Headers],[7]])</f>
        <v>0</v>
      </c>
      <c r="J14" s="11" cm="1">
        <f t="array" ref="J14">SUMIFS(Operations[[Amount]:[Amount]],Operations[[Category]:[Category]],summary1[[#This Row],[Category]:[Category]],Operations[[Month]:[Month]],summary1[[#Headers],[8]])</f>
        <v>0</v>
      </c>
      <c r="K14" s="11" cm="1">
        <f t="array" ref="K14">SUMIFS(Operations[[Amount]:[Amount]],Operations[[Category]:[Category]],summary1[[#This Row],[Category]:[Category]],Operations[[Month]:[Month]],summary1[[#Headers],[9]])</f>
        <v>0</v>
      </c>
      <c r="L14" s="11" cm="1">
        <f t="array" ref="L14">SUMIFS(Operations[[Amount]:[Amount]],Operations[[Category]:[Category]],summary1[[#This Row],[Category]:[Category]],Operations[[Month]:[Month]],summary1[[#Headers],[10]])</f>
        <v>0</v>
      </c>
      <c r="M14" s="11" cm="1">
        <f t="array" ref="M14">SUMIFS(Operations[[Amount]:[Amount]],Operations[[Category]:[Category]],summary1[[#This Row],[Category]:[Category]],Operations[[Month]:[Month]],summary1[[#Headers],[11]])</f>
        <v>0</v>
      </c>
      <c r="N14" s="11" cm="1">
        <f t="array" ref="N14">SUMIFS(Operations[[Amount]:[Amount]],Operations[[Category]:[Category]],summary1[[#This Row],[Category]:[Category]],Operations[[Month]:[Month]],summary1[[#Headers],[12]])</f>
        <v>0</v>
      </c>
      <c r="O14" s="11">
        <f>SUM(summary1[[#This Row],[1]:[12]])</f>
        <v>2750</v>
      </c>
    </row>
    <row r="15" spans="1:15" x14ac:dyDescent="0.25">
      <c r="A15" t="s">
        <v>10</v>
      </c>
      <c r="B15" t="s">
        <v>33</v>
      </c>
      <c r="C15" s="11" cm="1">
        <f t="array" ref="C15">SUMIFS(Operations[[Amount]:[Amount]],Operations[[Category]:[Category]],summary1[[#This Row],[Category]:[Category]],Operations[[Month]:[Month]],summary1[[#Headers],[1]])</f>
        <v>4500</v>
      </c>
      <c r="D15" s="11" cm="1">
        <f t="array" ref="D15">SUMIFS(Operations[[Amount]:[Amount]],Operations[[Category]:[Category]],summary1[[#This Row],[Category]:[Category]],Operations[[Month]:[Month]],summary1[[#Headers],[2]])</f>
        <v>4500</v>
      </c>
      <c r="E15" s="11" cm="1">
        <f t="array" ref="E15">SUMIFS(Operations[[Amount]:[Amount]],Operations[[Category]:[Category]],summary1[[#This Row],[Category]:[Category]],Operations[[Month]:[Month]],summary1[[#Headers],[3]])</f>
        <v>4500</v>
      </c>
      <c r="F15" s="11" cm="1">
        <f t="array" ref="F15">SUMIFS(Operations[[Amount]:[Amount]],Operations[[Category]:[Category]],summary1[[#This Row],[Category]:[Category]],Operations[[Month]:[Month]],summary1[[#Headers],[4]])</f>
        <v>4500</v>
      </c>
      <c r="G15" s="11" cm="1">
        <f t="array" ref="G15">SUMIFS(Operations[[Amount]:[Amount]],Operations[[Category]:[Category]],summary1[[#This Row],[Category]:[Category]],Operations[[Month]:[Month]],summary1[[#Headers],[5]])</f>
        <v>4500</v>
      </c>
      <c r="H15" s="11" cm="1">
        <f t="array" ref="H15">SUMIFS(Operations[[Amount]:[Amount]],Operations[[Category]:[Category]],summary1[[#This Row],[Category]:[Category]],Operations[[Month]:[Month]],summary1[[#Headers],[6]])</f>
        <v>4500</v>
      </c>
      <c r="I15" s="11" cm="1">
        <f t="array" ref="I15">SUMIFS(Operations[[Amount]:[Amount]],Operations[[Category]:[Category]],summary1[[#This Row],[Category]:[Category]],Operations[[Month]:[Month]],summary1[[#Headers],[7]])</f>
        <v>4500</v>
      </c>
      <c r="J15" s="11" cm="1">
        <f t="array" ref="J15">SUMIFS(Operations[[Amount]:[Amount]],Operations[[Category]:[Category]],summary1[[#This Row],[Category]:[Category]],Operations[[Month]:[Month]],summary1[[#Headers],[8]])</f>
        <v>4500</v>
      </c>
      <c r="K15" s="11" cm="1">
        <f t="array" ref="K15">SUMIFS(Operations[[Amount]:[Amount]],Operations[[Category]:[Category]],summary1[[#This Row],[Category]:[Category]],Operations[[Month]:[Month]],summary1[[#Headers],[9]])</f>
        <v>4500</v>
      </c>
      <c r="L15" s="11" cm="1">
        <f t="array" ref="L15">SUMIFS(Operations[[Amount]:[Amount]],Operations[[Category]:[Category]],summary1[[#This Row],[Category]:[Category]],Operations[[Month]:[Month]],summary1[[#Headers],[10]])</f>
        <v>4500</v>
      </c>
      <c r="M15" s="11" cm="1">
        <f t="array" ref="M15">SUMIFS(Operations[[Amount]:[Amount]],Operations[[Category]:[Category]],summary1[[#This Row],[Category]:[Category]],Operations[[Month]:[Month]],summary1[[#Headers],[11]])</f>
        <v>4500</v>
      </c>
      <c r="N15" s="11" cm="1">
        <f t="array" ref="N15">SUMIFS(Operations[[Amount]:[Amount]],Operations[[Category]:[Category]],summary1[[#This Row],[Category]:[Category]],Operations[[Month]:[Month]],summary1[[#Headers],[12]])</f>
        <v>4500</v>
      </c>
      <c r="O15" s="11">
        <f>SUM(summary1[[#This Row],[1]:[12]])</f>
        <v>54000</v>
      </c>
    </row>
    <row r="16" spans="1:15" x14ac:dyDescent="0.25">
      <c r="A16" t="s">
        <v>31</v>
      </c>
      <c r="B16" t="s">
        <v>33</v>
      </c>
      <c r="C16" s="11" cm="1">
        <f t="array" ref="C16">SUMIFS(Operations[[Amount]:[Amount]],Operations[[Category]:[Category]],summary1[[#This Row],[Category]:[Category]],Operations[[Month]:[Month]],summary1[[#Headers],[1]])</f>
        <v>0</v>
      </c>
      <c r="D16" s="11" cm="1">
        <f t="array" ref="D16">SUMIFS(Operations[[Amount]:[Amount]],Operations[[Category]:[Category]],summary1[[#This Row],[Category]:[Category]],Operations[[Month]:[Month]],summary1[[#Headers],[2]])</f>
        <v>0</v>
      </c>
      <c r="E16" s="11" cm="1">
        <f t="array" ref="E16">SUMIFS(Operations[[Amount]:[Amount]],Operations[[Category]:[Category]],summary1[[#This Row],[Category]:[Category]],Operations[[Month]:[Month]],summary1[[#Headers],[3]])</f>
        <v>0</v>
      </c>
      <c r="F16" s="11" cm="1">
        <f t="array" ref="F16">SUMIFS(Operations[[Amount]:[Amount]],Operations[[Category]:[Category]],summary1[[#This Row],[Category]:[Category]],Operations[[Month]:[Month]],summary1[[#Headers],[4]])</f>
        <v>0</v>
      </c>
      <c r="G16" s="11" cm="1">
        <f t="array" ref="G16">SUMIFS(Operations[[Amount]:[Amount]],Operations[[Category]:[Category]],summary1[[#This Row],[Category]:[Category]],Operations[[Month]:[Month]],summary1[[#Headers],[5]])</f>
        <v>0</v>
      </c>
      <c r="H16" s="11" cm="1">
        <f t="array" ref="H16">SUMIFS(Operations[[Amount]:[Amount]],Operations[[Category]:[Category]],summary1[[#This Row],[Category]:[Category]],Operations[[Month]:[Month]],summary1[[#Headers],[6]])</f>
        <v>0</v>
      </c>
      <c r="I16" s="11" cm="1">
        <f t="array" ref="I16">SUMIFS(Operations[[Amount]:[Amount]],Operations[[Category]:[Category]],summary1[[#This Row],[Category]:[Category]],Operations[[Month]:[Month]],summary1[[#Headers],[7]])</f>
        <v>500</v>
      </c>
      <c r="J16" s="11" cm="1">
        <f t="array" ref="J16">SUMIFS(Operations[[Amount]:[Amount]],Operations[[Category]:[Category]],summary1[[#This Row],[Category]:[Category]],Operations[[Month]:[Month]],summary1[[#Headers],[8]])</f>
        <v>500</v>
      </c>
      <c r="K16" s="11" cm="1">
        <f t="array" ref="K16">SUMIFS(Operations[[Amount]:[Amount]],Operations[[Category]:[Category]],summary1[[#This Row],[Category]:[Category]],Operations[[Month]:[Month]],summary1[[#Headers],[9]])</f>
        <v>0</v>
      </c>
      <c r="L16" s="11" cm="1">
        <f t="array" ref="L16">SUMIFS(Operations[[Amount]:[Amount]],Operations[[Category]:[Category]],summary1[[#This Row],[Category]:[Category]],Operations[[Month]:[Month]],summary1[[#Headers],[10]])</f>
        <v>0</v>
      </c>
      <c r="M16" s="11" cm="1">
        <f t="array" ref="M16">SUMIFS(Operations[[Amount]:[Amount]],Operations[[Category]:[Category]],summary1[[#This Row],[Category]:[Category]],Operations[[Month]:[Month]],summary1[[#Headers],[11]])</f>
        <v>0</v>
      </c>
      <c r="N16" s="11" cm="1">
        <f t="array" ref="N16">SUMIFS(Operations[[Amount]:[Amount]],Operations[[Category]:[Category]],summary1[[#This Row],[Category]:[Category]],Operations[[Month]:[Month]],summary1[[#Headers],[12]])</f>
        <v>0</v>
      </c>
      <c r="O16" s="11">
        <f>SUM(summary1[[#This Row],[1]:[12]])</f>
        <v>1000</v>
      </c>
    </row>
    <row r="17" spans="1:15" x14ac:dyDescent="0.25">
      <c r="A17" t="s">
        <v>29</v>
      </c>
      <c r="B17" t="s">
        <v>29</v>
      </c>
      <c r="C17" s="11" cm="1">
        <f t="array" ref="C17">SUMIFS(Operations[[Amount]:[Amount]],Operations[[Category]:[Category]],summary1[[#This Row],[Category]:[Category]],Operations[[Month]:[Month]],summary1[[#Headers],[1]])</f>
        <v>0</v>
      </c>
      <c r="D17" s="11" cm="1">
        <f t="array" ref="D17">SUMIFS(Operations[[Amount]:[Amount]],Operations[[Category]:[Category]],summary1[[#This Row],[Category]:[Category]],Operations[[Month]:[Month]],summary1[[#Headers],[2]])</f>
        <v>0</v>
      </c>
      <c r="E17" s="11" cm="1">
        <f t="array" ref="E17">SUMIFS(Operations[[Amount]:[Amount]],Operations[[Category]:[Category]],summary1[[#This Row],[Category]:[Category]],Operations[[Month]:[Month]],summary1[[#Headers],[3]])</f>
        <v>0</v>
      </c>
      <c r="F17" s="11" cm="1">
        <f t="array" ref="F17">SUMIFS(Operations[[Amount]:[Amount]],Operations[[Category]:[Category]],summary1[[#This Row],[Category]:[Category]],Operations[[Month]:[Month]],summary1[[#Headers],[4]])</f>
        <v>0</v>
      </c>
      <c r="G17" s="11" cm="1">
        <f t="array" ref="G17">SUMIFS(Operations[[Amount]:[Amount]],Operations[[Category]:[Category]],summary1[[#This Row],[Category]:[Category]],Operations[[Month]:[Month]],summary1[[#Headers],[5]])</f>
        <v>0</v>
      </c>
      <c r="H17" s="11" cm="1">
        <f t="array" ref="H17">SUMIFS(Operations[[Amount]:[Amount]],Operations[[Category]:[Category]],summary1[[#This Row],[Category]:[Category]],Operations[[Month]:[Month]],summary1[[#Headers],[6]])</f>
        <v>0</v>
      </c>
      <c r="I17" s="11" cm="1">
        <f t="array" ref="I17">SUMIFS(Operations[[Amount]:[Amount]],Operations[[Category]:[Category]],summary1[[#This Row],[Category]:[Category]],Operations[[Month]:[Month]],summary1[[#Headers],[7]])</f>
        <v>0</v>
      </c>
      <c r="J17" s="11" cm="1">
        <f t="array" ref="J17">SUMIFS(Operations[[Amount]:[Amount]],Operations[[Category]:[Category]],summary1[[#This Row],[Category]:[Category]],Operations[[Month]:[Month]],summary1[[#Headers],[8]])</f>
        <v>0</v>
      </c>
      <c r="K17" s="11" cm="1">
        <f t="array" ref="K17">SUMIFS(Operations[[Amount]:[Amount]],Operations[[Category]:[Category]],summary1[[#This Row],[Category]:[Category]],Operations[[Month]:[Month]],summary1[[#Headers],[9]])</f>
        <v>0</v>
      </c>
      <c r="L17" s="11" cm="1">
        <f t="array" ref="L17">SUMIFS(Operations[[Amount]:[Amount]],Operations[[Category]:[Category]],summary1[[#This Row],[Category]:[Category]],Operations[[Month]:[Month]],summary1[[#Headers],[10]])</f>
        <v>0</v>
      </c>
      <c r="M17" s="11" cm="1">
        <f t="array" ref="M17">SUMIFS(Operations[[Amount]:[Amount]],Operations[[Category]:[Category]],summary1[[#This Row],[Category]:[Category]],Operations[[Month]:[Month]],summary1[[#Headers],[11]])</f>
        <v>0</v>
      </c>
      <c r="N17" s="11" cm="1">
        <f t="array" ref="N17">SUMIFS(Operations[[Amount]:[Amount]],Operations[[Category]:[Category]],summary1[[#This Row],[Category]:[Category]],Operations[[Month]:[Month]],summary1[[#Headers],[12]])</f>
        <v>0</v>
      </c>
      <c r="O17" s="11">
        <f>SUM(summary1[[#This Row],[1]:[12]])</f>
        <v>0</v>
      </c>
    </row>
    <row r="18" spans="1:15" x14ac:dyDescent="0.25">
      <c r="A18" t="s">
        <v>37</v>
      </c>
      <c r="C18" s="11">
        <f>SUBTOTAL(109,summary1[1])</f>
        <v>845.5</v>
      </c>
      <c r="D18" s="11">
        <f>SUBTOTAL(109,summary1[2])</f>
        <v>2464.5</v>
      </c>
      <c r="E18" s="11">
        <f>SUBTOTAL(109,summary1[3])</f>
        <v>755.60999999999967</v>
      </c>
      <c r="F18" s="11">
        <f>SUBTOTAL(109,summary1[4])</f>
        <v>726.84000000000015</v>
      </c>
      <c r="G18" s="11">
        <f>SUBTOTAL(109,summary1[5])</f>
        <v>1290</v>
      </c>
      <c r="H18" s="11">
        <f>SUBTOTAL(109,summary1[6])</f>
        <v>1170</v>
      </c>
      <c r="I18" s="11">
        <f>SUBTOTAL(109,summary1[7])</f>
        <v>2915</v>
      </c>
      <c r="J18" s="11">
        <f>SUBTOTAL(109,summary1[8])</f>
        <v>1410.5</v>
      </c>
      <c r="K18" s="11">
        <f>SUBTOTAL(109,summary1[9])</f>
        <v>1751.5</v>
      </c>
      <c r="L18" s="11">
        <f>SUBTOTAL(109,summary1[10])</f>
        <v>1670</v>
      </c>
      <c r="M18" s="11">
        <f>SUBTOTAL(109,summary1[11])</f>
        <v>1400</v>
      </c>
      <c r="N18" s="11">
        <f>SUBTOTAL(109,summary1[12])</f>
        <v>2420</v>
      </c>
      <c r="O18" s="11">
        <f>SUBTOTAL(109,summary1[Total])</f>
        <v>18819.449999999997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B73A-D3AD-4973-A135-C64B231E4CFD}">
  <dimension ref="A1:O21"/>
  <sheetViews>
    <sheetView zoomScale="130" zoomScaleNormal="130" workbookViewId="0">
      <selection activeCell="B16" sqref="B16"/>
    </sheetView>
  </sheetViews>
  <sheetFormatPr defaultRowHeight="15" outlineLevelRow="2" x14ac:dyDescent="0.25"/>
  <cols>
    <col min="1" max="1" width="15.140625" bestFit="1" customWidth="1"/>
    <col min="2" max="2" width="14.85546875" bestFit="1" customWidth="1"/>
    <col min="3" max="14" width="11.85546875" bestFit="1" customWidth="1"/>
    <col min="15" max="15" width="12.85546875" bestFit="1" customWidth="1"/>
  </cols>
  <sheetData>
    <row r="1" spans="1:15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37</v>
      </c>
    </row>
    <row r="2" spans="1:15" outlineLevel="2" x14ac:dyDescent="0.25">
      <c r="A2" t="s">
        <v>11</v>
      </c>
      <c r="B2" t="s">
        <v>32</v>
      </c>
      <c r="C2" s="11">
        <f>SUMIFS(Operations[[Amount]:[Amount]],Operations[[Category]:[Category]],$A2,Operations[[Month]:[Month]],C$1)</f>
        <v>-2000</v>
      </c>
      <c r="D2" s="11">
        <f>SUMIFS(Operations[[Amount]:[Amount]],Operations[[Category]:[Category]],$A2,Operations[[Month]:[Month]],D$1)</f>
        <v>-2000</v>
      </c>
      <c r="E2" s="11">
        <f>SUMIFS(Operations[[Amount]:[Amount]],Operations[[Category]:[Category]],$A2,Operations[[Month]:[Month]],E$1)</f>
        <v>-2000</v>
      </c>
      <c r="F2" s="11">
        <f>SUMIFS(Operations[[Amount]:[Amount]],Operations[[Category]:[Category]],$A2,Operations[[Month]:[Month]],F$1)</f>
        <v>-2000</v>
      </c>
      <c r="G2" s="11">
        <f>SUMIFS(Operations[[Amount]:[Amount]],Operations[[Category]:[Category]],$A2,Operations[[Month]:[Month]],G$1)</f>
        <v>-2000</v>
      </c>
      <c r="H2" s="11">
        <f>SUMIFS(Operations[[Amount]:[Amount]],Operations[[Category]:[Category]],$A2,Operations[[Month]:[Month]],H$1)</f>
        <v>-2000</v>
      </c>
      <c r="I2" s="11">
        <f>SUMIFS(Operations[[Amount]:[Amount]],Operations[[Category]:[Category]],$A2,Operations[[Month]:[Month]],I$1)</f>
        <v>-2000</v>
      </c>
      <c r="J2" s="11">
        <f>SUMIFS(Operations[[Amount]:[Amount]],Operations[[Category]:[Category]],$A2,Operations[[Month]:[Month]],J$1)</f>
        <v>-2000</v>
      </c>
      <c r="K2" s="11">
        <f>SUMIFS(Operations[[Amount]:[Amount]],Operations[[Category]:[Category]],$A2,Operations[[Month]:[Month]],K$1)</f>
        <v>-2000</v>
      </c>
      <c r="L2" s="11">
        <f>SUMIFS(Operations[[Amount]:[Amount]],Operations[[Category]:[Category]],$A2,Operations[[Month]:[Month]],L$1)</f>
        <v>-2000</v>
      </c>
      <c r="M2" s="11">
        <f>SUMIFS(Operations[[Amount]:[Amount]],Operations[[Category]:[Category]],$A2,Operations[[Month]:[Month]],M$1)</f>
        <v>-2000</v>
      </c>
      <c r="N2" s="11">
        <f>SUMIFS(Operations[[Amount]:[Amount]],Operations[[Category]:[Category]],$A2,Operations[[Month]:[Month]],N$1)</f>
        <v>-2000</v>
      </c>
      <c r="O2" s="11">
        <f>SUM(C2:N2)</f>
        <v>-24000</v>
      </c>
    </row>
    <row r="3" spans="1:15" outlineLevel="2" x14ac:dyDescent="0.25">
      <c r="A3" t="s">
        <v>22</v>
      </c>
      <c r="B3" t="s">
        <v>32</v>
      </c>
      <c r="C3" s="11">
        <f>SUMIFS(Operations[[Amount]:[Amount]],Operations[[Category]:[Category]],$A3,Operations[[Month]:[Month]],C$1)</f>
        <v>-80</v>
      </c>
      <c r="D3" s="11">
        <f>SUMIFS(Operations[[Amount]:[Amount]],Operations[[Category]:[Category]],$A3,Operations[[Month]:[Month]],D$1)</f>
        <v>0</v>
      </c>
      <c r="E3" s="11">
        <f>SUMIFS(Operations[[Amount]:[Amount]],Operations[[Category]:[Category]],$A3,Operations[[Month]:[Month]],E$1)</f>
        <v>-469.9</v>
      </c>
      <c r="F3" s="11">
        <f>SUMIFS(Operations[[Amount]:[Amount]],Operations[[Category]:[Category]],$A3,Operations[[Month]:[Month]],F$1)</f>
        <v>-149</v>
      </c>
      <c r="G3" s="11">
        <f>SUMIFS(Operations[[Amount]:[Amount]],Operations[[Category]:[Category]],$A3,Operations[[Month]:[Month]],G$1)</f>
        <v>0</v>
      </c>
      <c r="H3" s="11">
        <f>SUMIFS(Operations[[Amount]:[Amount]],Operations[[Category]:[Category]],$A3,Operations[[Month]:[Month]],H$1)</f>
        <v>-300</v>
      </c>
      <c r="I3" s="11">
        <f>SUMIFS(Operations[[Amount]:[Amount]],Operations[[Category]:[Category]],$A3,Operations[[Month]:[Month]],I$1)</f>
        <v>250</v>
      </c>
      <c r="J3" s="11">
        <f>SUMIFS(Operations[[Amount]:[Amount]],Operations[[Category]:[Category]],$A3,Operations[[Month]:[Month]],J$1)</f>
        <v>-300</v>
      </c>
      <c r="K3" s="11">
        <f>SUMIFS(Operations[[Amount]:[Amount]],Operations[[Category]:[Category]],$A3,Operations[[Month]:[Month]],K$1)</f>
        <v>0</v>
      </c>
      <c r="L3" s="11">
        <f>SUMIFS(Operations[[Amount]:[Amount]],Operations[[Category]:[Category]],$A3,Operations[[Month]:[Month]],L$1)</f>
        <v>0</v>
      </c>
      <c r="M3" s="11">
        <f>SUMIFS(Operations[[Amount]:[Amount]],Operations[[Category]:[Category]],$A3,Operations[[Month]:[Month]],M$1)</f>
        <v>-158</v>
      </c>
      <c r="N3" s="11">
        <f>SUMIFS(Operations[[Amount]:[Amount]],Operations[[Category]:[Category]],$A3,Operations[[Month]:[Month]],N$1)</f>
        <v>-120</v>
      </c>
      <c r="O3" s="11">
        <f t="shared" ref="O3:O19" si="0">SUM(C3:N3)</f>
        <v>-1326.9</v>
      </c>
    </row>
    <row r="4" spans="1:15" outlineLevel="2" x14ac:dyDescent="0.25">
      <c r="A4" t="s">
        <v>20</v>
      </c>
      <c r="B4" t="s">
        <v>32</v>
      </c>
      <c r="C4" s="11">
        <f>SUMIFS(Operations[[Amount]:[Amount]],Operations[[Category]:[Category]],$A4,Operations[[Month]:[Month]],C$1)</f>
        <v>-85</v>
      </c>
      <c r="D4" s="11">
        <f>SUMIFS(Operations[[Amount]:[Amount]],Operations[[Category]:[Category]],$A4,Operations[[Month]:[Month]],D$1)</f>
        <v>-350</v>
      </c>
      <c r="E4" s="11">
        <f>SUMIFS(Operations[[Amount]:[Amount]],Operations[[Category]:[Category]],$A4,Operations[[Month]:[Month]],E$1)</f>
        <v>-200</v>
      </c>
      <c r="F4" s="11">
        <f>SUMIFS(Operations[[Amount]:[Amount]],Operations[[Category]:[Category]],$A4,Operations[[Month]:[Month]],F$1)</f>
        <v>-1057.9000000000001</v>
      </c>
      <c r="G4" s="11">
        <f>SUMIFS(Operations[[Amount]:[Amount]],Operations[[Category]:[Category]],$A4,Operations[[Month]:[Month]],G$1)</f>
        <v>-80</v>
      </c>
      <c r="H4" s="11">
        <f>SUMIFS(Operations[[Amount]:[Amount]],Operations[[Category]:[Category]],$A4,Operations[[Month]:[Month]],H$1)</f>
        <v>-200</v>
      </c>
      <c r="I4" s="11">
        <f>SUMIFS(Operations[[Amount]:[Amount]],Operations[[Category]:[Category]],$A4,Operations[[Month]:[Month]],I$1)</f>
        <v>-700</v>
      </c>
      <c r="J4" s="11">
        <f>SUMIFS(Operations[[Amount]:[Amount]],Operations[[Category]:[Category]],$A4,Operations[[Month]:[Month]],J$1)</f>
        <v>-250</v>
      </c>
      <c r="K4" s="11">
        <f>SUMIFS(Operations[[Amount]:[Amount]],Operations[[Category]:[Category]],$A4,Operations[[Month]:[Month]],K$1)</f>
        <v>-20</v>
      </c>
      <c r="L4" s="11">
        <f>SUMIFS(Operations[[Amount]:[Amount]],Operations[[Category]:[Category]],$A4,Operations[[Month]:[Month]],L$1)</f>
        <v>-40</v>
      </c>
      <c r="M4" s="11">
        <f>SUMIFS(Operations[[Amount]:[Amount]],Operations[[Category]:[Category]],$A4,Operations[[Month]:[Month]],M$1)</f>
        <v>-214</v>
      </c>
      <c r="N4" s="11">
        <f>SUMIFS(Operations[[Amount]:[Amount]],Operations[[Category]:[Category]],$A4,Operations[[Month]:[Month]],N$1)</f>
        <v>-450</v>
      </c>
      <c r="O4" s="11">
        <f t="shared" si="0"/>
        <v>-3646.9</v>
      </c>
    </row>
    <row r="5" spans="1:15" outlineLevel="2" x14ac:dyDescent="0.25">
      <c r="A5" t="s">
        <v>9</v>
      </c>
      <c r="B5" t="s">
        <v>32</v>
      </c>
      <c r="C5" s="11">
        <f>SUMIFS(Operations[[Amount]:[Amount]],Operations[[Category]:[Category]],$A5,Operations[[Month]:[Month]],C$1)</f>
        <v>-1715</v>
      </c>
      <c r="D5" s="11">
        <f>SUMIFS(Operations[[Amount]:[Amount]],Operations[[Category]:[Category]],$A5,Operations[[Month]:[Month]],D$1)</f>
        <v>-405.5</v>
      </c>
      <c r="E5" s="11">
        <f>SUMIFS(Operations[[Amount]:[Amount]],Operations[[Category]:[Category]],$A5,Operations[[Month]:[Month]],E$1)</f>
        <v>-734.99</v>
      </c>
      <c r="F5" s="11">
        <f>SUMIFS(Operations[[Amount]:[Amount]],Operations[[Category]:[Category]],$A5,Operations[[Month]:[Month]],F$1)</f>
        <v>-372.26</v>
      </c>
      <c r="G5" s="11">
        <f>SUMIFS(Operations[[Amount]:[Amount]],Operations[[Category]:[Category]],$A5,Operations[[Month]:[Month]],G$1)</f>
        <v>-1000</v>
      </c>
      <c r="H5" s="11">
        <f>SUMIFS(Operations[[Amount]:[Amount]],Operations[[Category]:[Category]],$A5,Operations[[Month]:[Month]],H$1)</f>
        <v>-1000</v>
      </c>
      <c r="I5" s="11">
        <f>SUMIFS(Operations[[Amount]:[Amount]],Operations[[Category]:[Category]],$A5,Operations[[Month]:[Month]],I$1)</f>
        <v>-165</v>
      </c>
      <c r="J5" s="11">
        <f>SUMIFS(Operations[[Amount]:[Amount]],Operations[[Category]:[Category]],$A5,Operations[[Month]:[Month]],J$1)</f>
        <v>-749.5</v>
      </c>
      <c r="K5" s="11">
        <f>SUMIFS(Operations[[Amount]:[Amount]],Operations[[Category]:[Category]],$A5,Operations[[Month]:[Month]],K$1)</f>
        <v>-538.5</v>
      </c>
      <c r="L5" s="11">
        <f>SUMIFS(Operations[[Amount]:[Amount]],Operations[[Category]:[Category]],$A5,Operations[[Month]:[Month]],L$1)</f>
        <v>-600</v>
      </c>
      <c r="M5" s="11">
        <f>SUMIFS(Operations[[Amount]:[Amount]],Operations[[Category]:[Category]],$A5,Operations[[Month]:[Month]],M$1)</f>
        <v>-506</v>
      </c>
      <c r="N5" s="11">
        <f>SUMIFS(Operations[[Amount]:[Amount]],Operations[[Category]:[Category]],$A5,Operations[[Month]:[Month]],N$1)</f>
        <v>-700</v>
      </c>
      <c r="O5" s="11">
        <f t="shared" si="0"/>
        <v>-8486.75</v>
      </c>
    </row>
    <row r="6" spans="1:15" outlineLevel="2" x14ac:dyDescent="0.25">
      <c r="A6" t="s">
        <v>28</v>
      </c>
      <c r="B6" t="s">
        <v>32</v>
      </c>
      <c r="C6" s="11">
        <f>SUMIFS(Operations[[Amount]:[Amount]],Operations[[Category]:[Category]],$A6,Operations[[Month]:[Month]],C$1)</f>
        <v>-100</v>
      </c>
      <c r="D6" s="11">
        <f>SUMIFS(Operations[[Amount]:[Amount]],Operations[[Category]:[Category]],$A6,Operations[[Month]:[Month]],D$1)</f>
        <v>-250</v>
      </c>
      <c r="E6" s="11">
        <f>SUMIFS(Operations[[Amount]:[Amount]],Operations[[Category]:[Category]],$A6,Operations[[Month]:[Month]],E$1)</f>
        <v>-9.5</v>
      </c>
      <c r="F6" s="11">
        <f>SUMIFS(Operations[[Amount]:[Amount]],Operations[[Category]:[Category]],$A6,Operations[[Month]:[Month]],F$1)</f>
        <v>-23.5</v>
      </c>
      <c r="G6" s="11">
        <f>SUMIFS(Operations[[Amount]:[Amount]],Operations[[Category]:[Category]],$A6,Operations[[Month]:[Month]],G$1)</f>
        <v>0</v>
      </c>
      <c r="H6" s="11">
        <f>SUMIFS(Operations[[Amount]:[Amount]],Operations[[Category]:[Category]],$A6,Operations[[Month]:[Month]],H$1)</f>
        <v>-100</v>
      </c>
      <c r="I6" s="11">
        <f>SUMIFS(Operations[[Amount]:[Amount]],Operations[[Category]:[Category]],$A6,Operations[[Month]:[Month]],I$1)</f>
        <v>-300</v>
      </c>
      <c r="J6" s="11">
        <f>SUMIFS(Operations[[Amount]:[Amount]],Operations[[Category]:[Category]],$A6,Operations[[Month]:[Month]],J$1)</f>
        <v>-400</v>
      </c>
      <c r="K6" s="11">
        <f>SUMIFS(Operations[[Amount]:[Amount]],Operations[[Category]:[Category]],$A6,Operations[[Month]:[Month]],K$1)</f>
        <v>0</v>
      </c>
      <c r="L6" s="11">
        <f>SUMIFS(Operations[[Amount]:[Amount]],Operations[[Category]:[Category]],$A6,Operations[[Month]:[Month]],L$1)</f>
        <v>0</v>
      </c>
      <c r="M6" s="11">
        <f>SUMIFS(Operations[[Amount]:[Amount]],Operations[[Category]:[Category]],$A6,Operations[[Month]:[Month]],M$1)</f>
        <v>-133</v>
      </c>
      <c r="N6" s="11">
        <f>SUMIFS(Operations[[Amount]:[Amount]],Operations[[Category]:[Category]],$A6,Operations[[Month]:[Month]],N$1)</f>
        <v>-10</v>
      </c>
      <c r="O6" s="11">
        <f t="shared" si="0"/>
        <v>-1326</v>
      </c>
    </row>
    <row r="7" spans="1:15" outlineLevel="2" x14ac:dyDescent="0.25">
      <c r="A7" t="s">
        <v>14</v>
      </c>
      <c r="B7" t="s">
        <v>32</v>
      </c>
      <c r="C7" s="11">
        <f>SUMIFS(Operations[[Amount]:[Amount]],Operations[[Category]:[Category]],$A7,Operations[[Month]:[Month]],C$1)</f>
        <v>-150</v>
      </c>
      <c r="D7" s="11">
        <f>SUMIFS(Operations[[Amount]:[Amount]],Operations[[Category]:[Category]],$A7,Operations[[Month]:[Month]],D$1)</f>
        <v>-150</v>
      </c>
      <c r="E7" s="11">
        <f>SUMIFS(Operations[[Amount]:[Amount]],Operations[[Category]:[Category]],$A7,Operations[[Month]:[Month]],E$1)</f>
        <v>-23</v>
      </c>
      <c r="F7" s="11">
        <f>SUMIFS(Operations[[Amount]:[Amount]],Operations[[Category]:[Category]],$A7,Operations[[Month]:[Month]],F$1)</f>
        <v>-49</v>
      </c>
      <c r="G7" s="11">
        <f>SUMIFS(Operations[[Amount]:[Amount]],Operations[[Category]:[Category]],$A7,Operations[[Month]:[Month]],G$1)</f>
        <v>-50</v>
      </c>
      <c r="H7" s="11">
        <f>SUMIFS(Operations[[Amount]:[Amount]],Operations[[Category]:[Category]],$A7,Operations[[Month]:[Month]],H$1)</f>
        <v>-50</v>
      </c>
      <c r="I7" s="11">
        <f>SUMIFS(Operations[[Amount]:[Amount]],Operations[[Category]:[Category]],$A7,Operations[[Month]:[Month]],I$1)</f>
        <v>0</v>
      </c>
      <c r="J7" s="11">
        <f>SUMIFS(Operations[[Amount]:[Amount]],Operations[[Category]:[Category]],$A7,Operations[[Month]:[Month]],J$1)</f>
        <v>0</v>
      </c>
      <c r="K7" s="11">
        <f>SUMIFS(Operations[[Amount]:[Amount]],Operations[[Category]:[Category]],$A7,Operations[[Month]:[Month]],K$1)</f>
        <v>-40</v>
      </c>
      <c r="L7" s="11">
        <f>SUMIFS(Operations[[Amount]:[Amount]],Operations[[Category]:[Category]],$A7,Operations[[Month]:[Month]],L$1)</f>
        <v>-40</v>
      </c>
      <c r="M7" s="11">
        <f>SUMIFS(Operations[[Amount]:[Amount]],Operations[[Category]:[Category]],$A7,Operations[[Month]:[Month]],M$1)</f>
        <v>-47</v>
      </c>
      <c r="N7" s="11">
        <f>SUMIFS(Operations[[Amount]:[Amount]],Operations[[Category]:[Category]],$A7,Operations[[Month]:[Month]],N$1)</f>
        <v>0</v>
      </c>
      <c r="O7" s="11">
        <f t="shared" si="0"/>
        <v>-599</v>
      </c>
    </row>
    <row r="8" spans="1:15" outlineLevel="2" x14ac:dyDescent="0.25">
      <c r="A8" t="s">
        <v>17</v>
      </c>
      <c r="B8" t="s">
        <v>32</v>
      </c>
      <c r="C8" s="11">
        <f>SUMIFS(Operations[[Amount]:[Amount]],Operations[[Category]:[Category]],$A8,Operations[[Month]:[Month]],C$1)</f>
        <v>-500</v>
      </c>
      <c r="D8" s="11">
        <f>SUMIFS(Operations[[Amount]:[Amount]],Operations[[Category]:[Category]],$A8,Operations[[Month]:[Month]],D$1)</f>
        <v>-765</v>
      </c>
      <c r="E8" s="11">
        <f>SUMIFS(Operations[[Amount]:[Amount]],Operations[[Category]:[Category]],$A8,Operations[[Month]:[Month]],E$1)</f>
        <v>-300</v>
      </c>
      <c r="F8" s="11">
        <f>SUMIFS(Operations[[Amount]:[Amount]],Operations[[Category]:[Category]],$A8,Operations[[Month]:[Month]],F$1)</f>
        <v>-100</v>
      </c>
      <c r="G8" s="11">
        <f>SUMIFS(Operations[[Amount]:[Amount]],Operations[[Category]:[Category]],$A8,Operations[[Month]:[Month]],G$1)</f>
        <v>0</v>
      </c>
      <c r="H8" s="11">
        <f>SUMIFS(Operations[[Amount]:[Amount]],Operations[[Category]:[Category]],$A8,Operations[[Month]:[Month]],H$1)</f>
        <v>0</v>
      </c>
      <c r="I8" s="11">
        <f>SUMIFS(Operations[[Amount]:[Amount]],Operations[[Category]:[Category]],$A8,Operations[[Month]:[Month]],I$1)</f>
        <v>0</v>
      </c>
      <c r="J8" s="11">
        <f>SUMIFS(Operations[[Amount]:[Amount]],Operations[[Category]:[Category]],$A8,Operations[[Month]:[Month]],J$1)</f>
        <v>0</v>
      </c>
      <c r="K8" s="11">
        <f>SUMIFS(Operations[[Amount]:[Amount]],Operations[[Category]:[Category]],$A8,Operations[[Month]:[Month]],K$1)</f>
        <v>0</v>
      </c>
      <c r="L8" s="11">
        <f>SUMIFS(Operations[[Amount]:[Amount]],Operations[[Category]:[Category]],$A8,Operations[[Month]:[Month]],L$1)</f>
        <v>0</v>
      </c>
      <c r="M8" s="11">
        <f>SUMIFS(Operations[[Amount]:[Amount]],Operations[[Category]:[Category]],$A8,Operations[[Month]:[Month]],M$1)</f>
        <v>-234</v>
      </c>
      <c r="N8" s="11">
        <f>SUMIFS(Operations[[Amount]:[Amount]],Operations[[Category]:[Category]],$A8,Operations[[Month]:[Month]],N$1)</f>
        <v>-700</v>
      </c>
      <c r="O8" s="11">
        <f t="shared" si="0"/>
        <v>-2599</v>
      </c>
    </row>
    <row r="9" spans="1:15" outlineLevel="2" x14ac:dyDescent="0.25">
      <c r="A9" t="s">
        <v>23</v>
      </c>
      <c r="B9" t="s">
        <v>32</v>
      </c>
      <c r="C9" s="11">
        <f>SUMIFS(Operations[[Amount]:[Amount]],Operations[[Category]:[Category]],$A9,Operations[[Month]:[Month]],C$1)</f>
        <v>-100</v>
      </c>
      <c r="D9" s="11">
        <f>SUMIFS(Operations[[Amount]:[Amount]],Operations[[Category]:[Category]],$A9,Operations[[Month]:[Month]],D$1)</f>
        <v>-100</v>
      </c>
      <c r="E9" s="11">
        <f>SUMIFS(Operations[[Amount]:[Amount]],Operations[[Category]:[Category]],$A9,Operations[[Month]:[Month]],E$1)</f>
        <v>-79.5</v>
      </c>
      <c r="F9" s="11">
        <f>SUMIFS(Operations[[Amount]:[Amount]],Operations[[Category]:[Category]],$A9,Operations[[Month]:[Month]],F$1)</f>
        <v>-139</v>
      </c>
      <c r="G9" s="11">
        <f>SUMIFS(Operations[[Amount]:[Amount]],Operations[[Category]:[Category]],$A9,Operations[[Month]:[Month]],G$1)</f>
        <v>0</v>
      </c>
      <c r="H9" s="11">
        <f>SUMIFS(Operations[[Amount]:[Amount]],Operations[[Category]:[Category]],$A9,Operations[[Month]:[Month]],H$1)</f>
        <v>0</v>
      </c>
      <c r="I9" s="11">
        <f>SUMIFS(Operations[[Amount]:[Amount]],Operations[[Category]:[Category]],$A9,Operations[[Month]:[Month]],I$1)</f>
        <v>0</v>
      </c>
      <c r="J9" s="11">
        <f>SUMIFS(Operations[[Amount]:[Amount]],Operations[[Category]:[Category]],$A9,Operations[[Month]:[Month]],J$1)</f>
        <v>0</v>
      </c>
      <c r="K9" s="11">
        <f>SUMIFS(Operations[[Amount]:[Amount]],Operations[[Category]:[Category]],$A9,Operations[[Month]:[Month]],K$1)</f>
        <v>0</v>
      </c>
      <c r="L9" s="11">
        <f>SUMIFS(Operations[[Amount]:[Amount]],Operations[[Category]:[Category]],$A9,Operations[[Month]:[Month]],L$1)</f>
        <v>0</v>
      </c>
      <c r="M9" s="11">
        <f>SUMIFS(Operations[[Amount]:[Amount]],Operations[[Category]:[Category]],$A9,Operations[[Month]:[Month]],M$1)</f>
        <v>0</v>
      </c>
      <c r="N9" s="11">
        <f>SUMIFS(Operations[[Amount]:[Amount]],Operations[[Category]:[Category]],$A9,Operations[[Month]:[Month]],N$1)</f>
        <v>-100</v>
      </c>
      <c r="O9" s="11">
        <f t="shared" si="0"/>
        <v>-518.5</v>
      </c>
    </row>
    <row r="10" spans="1:15" outlineLevel="2" x14ac:dyDescent="0.25">
      <c r="A10" t="s">
        <v>21</v>
      </c>
      <c r="B10" t="s">
        <v>32</v>
      </c>
      <c r="C10" s="11">
        <f>SUMIFS(Operations[[Amount]:[Amount]],Operations[[Category]:[Category]],$A10,Operations[[Month]:[Month]],C$1)</f>
        <v>-80</v>
      </c>
      <c r="D10" s="11">
        <f>SUMIFS(Operations[[Amount]:[Amount]],Operations[[Category]:[Category]],$A10,Operations[[Month]:[Month]],D$1)</f>
        <v>-80</v>
      </c>
      <c r="E10" s="11">
        <f>SUMIFS(Operations[[Amount]:[Amount]],Operations[[Category]:[Category]],$A10,Operations[[Month]:[Month]],E$1)</f>
        <v>-82.5</v>
      </c>
      <c r="F10" s="11">
        <f>SUMIFS(Operations[[Amount]:[Amount]],Operations[[Category]:[Category]],$A10,Operations[[Month]:[Month]],F$1)</f>
        <v>-82.5</v>
      </c>
      <c r="G10" s="11">
        <f>SUMIFS(Operations[[Amount]:[Amount]],Operations[[Category]:[Category]],$A10,Operations[[Month]:[Month]],G$1)</f>
        <v>-80</v>
      </c>
      <c r="H10" s="11">
        <f>SUMIFS(Operations[[Amount]:[Amount]],Operations[[Category]:[Category]],$A10,Operations[[Month]:[Month]],H$1)</f>
        <v>-80</v>
      </c>
      <c r="I10" s="11">
        <f>SUMIFS(Operations[[Amount]:[Amount]],Operations[[Category]:[Category]],$A10,Operations[[Month]:[Month]],I$1)</f>
        <v>-90</v>
      </c>
      <c r="J10" s="11">
        <f>SUMIFS(Operations[[Amount]:[Amount]],Operations[[Category]:[Category]],$A10,Operations[[Month]:[Month]],J$1)</f>
        <v>-290</v>
      </c>
      <c r="K10" s="11">
        <f>SUMIFS(Operations[[Amount]:[Amount]],Operations[[Category]:[Category]],$A10,Operations[[Month]:[Month]],K$1)</f>
        <v>-150</v>
      </c>
      <c r="L10" s="11">
        <f>SUMIFS(Operations[[Amount]:[Amount]],Operations[[Category]:[Category]],$A10,Operations[[Month]:[Month]],L$1)</f>
        <v>-150</v>
      </c>
      <c r="M10" s="11">
        <f>SUMIFS(Operations[[Amount]:[Amount]],Operations[[Category]:[Category]],$A10,Operations[[Month]:[Month]],M$1)</f>
        <v>-208</v>
      </c>
      <c r="N10" s="11">
        <f>SUMIFS(Operations[[Amount]:[Amount]],Operations[[Category]:[Category]],$A10,Operations[[Month]:[Month]],N$1)</f>
        <v>0</v>
      </c>
      <c r="O10" s="11">
        <f t="shared" si="0"/>
        <v>-1373</v>
      </c>
    </row>
    <row r="11" spans="1:15" outlineLevel="1" x14ac:dyDescent="0.25">
      <c r="B11" s="15" t="s">
        <v>50</v>
      </c>
      <c r="C11" s="11">
        <f>SUBTOTAL(9,C2:C10)</f>
        <v>-4810</v>
      </c>
      <c r="D11" s="11">
        <f>SUBTOTAL(9,D2:D10)</f>
        <v>-4100.5</v>
      </c>
      <c r="E11" s="11">
        <f>SUBTOTAL(9,E2:E10)</f>
        <v>-3899.3900000000003</v>
      </c>
      <c r="F11" s="11">
        <f>SUBTOTAL(9,F2:F10)</f>
        <v>-3973.16</v>
      </c>
      <c r="G11" s="11">
        <f>SUBTOTAL(9,G2:G10)</f>
        <v>-3210</v>
      </c>
      <c r="H11" s="11">
        <f>SUBTOTAL(9,H2:H10)</f>
        <v>-3730</v>
      </c>
      <c r="I11" s="11">
        <f>SUBTOTAL(9,I2:I10)</f>
        <v>-3005</v>
      </c>
      <c r="J11" s="11">
        <f>SUBTOTAL(9,J2:J10)</f>
        <v>-3989.5</v>
      </c>
      <c r="K11" s="11">
        <f>SUBTOTAL(9,K2:K10)</f>
        <v>-2748.5</v>
      </c>
      <c r="L11" s="11">
        <f>SUBTOTAL(9,L2:L10)</f>
        <v>-2830</v>
      </c>
      <c r="M11" s="11">
        <f>SUBTOTAL(9,M2:M10)</f>
        <v>-3500</v>
      </c>
      <c r="N11" s="11">
        <f>SUBTOTAL(9,N2:N10)</f>
        <v>-4080</v>
      </c>
      <c r="O11" s="11">
        <f>SUBTOTAL(9,O2:O10)</f>
        <v>-43876.05</v>
      </c>
    </row>
    <row r="12" spans="1:15" outlineLevel="2" x14ac:dyDescent="0.25">
      <c r="A12" t="s">
        <v>19</v>
      </c>
      <c r="B12" t="s">
        <v>33</v>
      </c>
      <c r="C12" s="11">
        <f>SUMIFS(Operations[[Amount]:[Amount]],Operations[[Category]:[Category]],$A12,Operations[[Month]:[Month]],C$1)</f>
        <v>250</v>
      </c>
      <c r="D12" s="11">
        <f>SUMIFS(Operations[[Amount]:[Amount]],Operations[[Category]:[Category]],$A12,Operations[[Month]:[Month]],D$1)</f>
        <v>0</v>
      </c>
      <c r="E12" s="11">
        <f>SUMIFS(Operations[[Amount]:[Amount]],Operations[[Category]:[Category]],$A12,Operations[[Month]:[Month]],E$1)</f>
        <v>0</v>
      </c>
      <c r="F12" s="11">
        <f>SUMIFS(Operations[[Amount]:[Amount]],Operations[[Category]:[Category]],$A12,Operations[[Month]:[Month]],F$1)</f>
        <v>0</v>
      </c>
      <c r="G12" s="11">
        <f>SUMIFS(Operations[[Amount]:[Amount]],Operations[[Category]:[Category]],$A12,Operations[[Month]:[Month]],G$1)</f>
        <v>0</v>
      </c>
      <c r="H12" s="11">
        <f>SUMIFS(Operations[[Amount]:[Amount]],Operations[[Category]:[Category]],$A12,Operations[[Month]:[Month]],H$1)</f>
        <v>400</v>
      </c>
      <c r="I12" s="11">
        <f>SUMIFS(Operations[[Amount]:[Amount]],Operations[[Category]:[Category]],$A12,Operations[[Month]:[Month]],I$1)</f>
        <v>0</v>
      </c>
      <c r="J12" s="11">
        <f>SUMIFS(Operations[[Amount]:[Amount]],Operations[[Category]:[Category]],$A12,Operations[[Month]:[Month]],J$1)</f>
        <v>0</v>
      </c>
      <c r="K12" s="11">
        <f>SUMIFS(Operations[[Amount]:[Amount]],Operations[[Category]:[Category]],$A12,Operations[[Month]:[Month]],K$1)</f>
        <v>0</v>
      </c>
      <c r="L12" s="11">
        <f>SUMIFS(Operations[[Amount]:[Amount]],Operations[[Category]:[Category]],$A12,Operations[[Month]:[Month]],L$1)</f>
        <v>0</v>
      </c>
      <c r="M12" s="11">
        <f>SUMIFS(Operations[[Amount]:[Amount]],Operations[[Category]:[Category]],$A12,Operations[[Month]:[Month]],M$1)</f>
        <v>0</v>
      </c>
      <c r="N12" s="11">
        <f>SUMIFS(Operations[[Amount]:[Amount]],Operations[[Category]:[Category]],$A12,Operations[[Month]:[Month]],N$1)</f>
        <v>0</v>
      </c>
      <c r="O12" s="11">
        <f t="shared" si="0"/>
        <v>650</v>
      </c>
    </row>
    <row r="13" spans="1:15" outlineLevel="2" x14ac:dyDescent="0.25">
      <c r="A13" t="s">
        <v>27</v>
      </c>
      <c r="B13" t="s">
        <v>33</v>
      </c>
      <c r="C13" s="11">
        <f>SUMIFS(Operations[[Amount]:[Amount]],Operations[[Category]:[Category]],$A13,Operations[[Month]:[Month]],C$1)</f>
        <v>105.5</v>
      </c>
      <c r="D13" s="11">
        <f>SUMIFS(Operations[[Amount]:[Amount]],Operations[[Category]:[Category]],$A13,Operations[[Month]:[Month]],D$1)</f>
        <v>115</v>
      </c>
      <c r="E13" s="11">
        <f>SUMIFS(Operations[[Amount]:[Amount]],Operations[[Category]:[Category]],$A13,Operations[[Month]:[Month]],E$1)</f>
        <v>150</v>
      </c>
      <c r="F13" s="11">
        <f>SUMIFS(Operations[[Amount]:[Amount]],Operations[[Category]:[Category]],$A13,Operations[[Month]:[Month]],F$1)</f>
        <v>150</v>
      </c>
      <c r="G13" s="11">
        <f>SUMIFS(Operations[[Amount]:[Amount]],Operations[[Category]:[Category]],$A13,Operations[[Month]:[Month]],G$1)</f>
        <v>0</v>
      </c>
      <c r="H13" s="11">
        <f>SUMIFS(Operations[[Amount]:[Amount]],Operations[[Category]:[Category]],$A13,Operations[[Month]:[Month]],H$1)</f>
        <v>0</v>
      </c>
      <c r="I13" s="11">
        <f>SUMIFS(Operations[[Amount]:[Amount]],Operations[[Category]:[Category]],$A13,Operations[[Month]:[Month]],I$1)</f>
        <v>120</v>
      </c>
      <c r="J13" s="11">
        <f>SUMIFS(Operations[[Amount]:[Amount]],Operations[[Category]:[Category]],$A13,Operations[[Month]:[Month]],J$1)</f>
        <v>0</v>
      </c>
      <c r="K13" s="11">
        <f>SUMIFS(Operations[[Amount]:[Amount]],Operations[[Category]:[Category]],$A13,Operations[[Month]:[Month]],K$1)</f>
        <v>0</v>
      </c>
      <c r="L13" s="11">
        <f>SUMIFS(Operations[[Amount]:[Amount]],Operations[[Category]:[Category]],$A13,Operations[[Month]:[Month]],L$1)</f>
        <v>0</v>
      </c>
      <c r="M13" s="11">
        <f>SUMIFS(Operations[[Amount]:[Amount]],Operations[[Category]:[Category]],$A13,Operations[[Month]:[Month]],M$1)</f>
        <v>0</v>
      </c>
      <c r="N13" s="11">
        <f>SUMIFS(Operations[[Amount]:[Amount]],Operations[[Category]:[Category]],$A13,Operations[[Month]:[Month]],N$1)</f>
        <v>0</v>
      </c>
      <c r="O13" s="11">
        <f t="shared" si="0"/>
        <v>640.5</v>
      </c>
    </row>
    <row r="14" spans="1:15" outlineLevel="2" x14ac:dyDescent="0.25">
      <c r="A14" t="s">
        <v>30</v>
      </c>
      <c r="B14" t="s">
        <v>33</v>
      </c>
      <c r="C14" s="11">
        <f>SUMIFS(Operations[[Amount]:[Amount]],Operations[[Category]:[Category]],$A14,Operations[[Month]:[Month]],C$1)</f>
        <v>0</v>
      </c>
      <c r="D14" s="11">
        <f>SUMIFS(Operations[[Amount]:[Amount]],Operations[[Category]:[Category]],$A14,Operations[[Month]:[Month]],D$1)</f>
        <v>0</v>
      </c>
      <c r="E14" s="11">
        <f>SUMIFS(Operations[[Amount]:[Amount]],Operations[[Category]:[Category]],$A14,Operations[[Month]:[Month]],E$1)</f>
        <v>5</v>
      </c>
      <c r="F14" s="11">
        <f>SUMIFS(Operations[[Amount]:[Amount]],Operations[[Category]:[Category]],$A14,Operations[[Month]:[Month]],F$1)</f>
        <v>50</v>
      </c>
      <c r="G14" s="11">
        <f>SUMIFS(Operations[[Amount]:[Amount]],Operations[[Category]:[Category]],$A14,Operations[[Month]:[Month]],G$1)</f>
        <v>0</v>
      </c>
      <c r="H14" s="11">
        <f>SUMIFS(Operations[[Amount]:[Amount]],Operations[[Category]:[Category]],$A14,Operations[[Month]:[Month]],H$1)</f>
        <v>0</v>
      </c>
      <c r="I14" s="11">
        <f>SUMIFS(Operations[[Amount]:[Amount]],Operations[[Category]:[Category]],$A14,Operations[[Month]:[Month]],I$1)</f>
        <v>800</v>
      </c>
      <c r="J14" s="11">
        <f>SUMIFS(Operations[[Amount]:[Amount]],Operations[[Category]:[Category]],$A14,Operations[[Month]:[Month]],J$1)</f>
        <v>400</v>
      </c>
      <c r="K14" s="11">
        <f>SUMIFS(Operations[[Amount]:[Amount]],Operations[[Category]:[Category]],$A14,Operations[[Month]:[Month]],K$1)</f>
        <v>0</v>
      </c>
      <c r="L14" s="11">
        <f>SUMIFS(Operations[[Amount]:[Amount]],Operations[[Category]:[Category]],$A14,Operations[[Month]:[Month]],L$1)</f>
        <v>0</v>
      </c>
      <c r="M14" s="11">
        <f>SUMIFS(Operations[[Amount]:[Amount]],Operations[[Category]:[Category]],$A14,Operations[[Month]:[Month]],M$1)</f>
        <v>400</v>
      </c>
      <c r="N14" s="11">
        <f>SUMIFS(Operations[[Amount]:[Amount]],Operations[[Category]:[Category]],$A14,Operations[[Month]:[Month]],N$1)</f>
        <v>2000</v>
      </c>
      <c r="O14" s="11">
        <f t="shared" si="0"/>
        <v>3655</v>
      </c>
    </row>
    <row r="15" spans="1:15" outlineLevel="2" x14ac:dyDescent="0.25">
      <c r="A15" t="s">
        <v>15</v>
      </c>
      <c r="B15" t="s">
        <v>33</v>
      </c>
      <c r="C15" s="11">
        <f>SUMIFS(Operations[[Amount]:[Amount]],Operations[[Category]:[Category]],$A15,Operations[[Month]:[Month]],C$1)</f>
        <v>800</v>
      </c>
      <c r="D15" s="11">
        <f>SUMIFS(Operations[[Amount]:[Amount]],Operations[[Category]:[Category]],$A15,Operations[[Month]:[Month]],D$1)</f>
        <v>1950</v>
      </c>
      <c r="E15" s="11">
        <f>SUMIFS(Operations[[Amount]:[Amount]],Operations[[Category]:[Category]],$A15,Operations[[Month]:[Month]],E$1)</f>
        <v>0</v>
      </c>
      <c r="F15" s="11">
        <f>SUMIFS(Operations[[Amount]:[Amount]],Operations[[Category]:[Category]],$A15,Operations[[Month]:[Month]],F$1)</f>
        <v>0</v>
      </c>
      <c r="G15" s="11">
        <f>SUMIFS(Operations[[Amount]:[Amount]],Operations[[Category]:[Category]],$A15,Operations[[Month]:[Month]],G$1)</f>
        <v>0</v>
      </c>
      <c r="H15" s="11">
        <f>SUMIFS(Operations[[Amount]:[Amount]],Operations[[Category]:[Category]],$A15,Operations[[Month]:[Month]],H$1)</f>
        <v>0</v>
      </c>
      <c r="I15" s="11">
        <f>SUMIFS(Operations[[Amount]:[Amount]],Operations[[Category]:[Category]],$A15,Operations[[Month]:[Month]],I$1)</f>
        <v>0</v>
      </c>
      <c r="J15" s="11">
        <f>SUMIFS(Operations[[Amount]:[Amount]],Operations[[Category]:[Category]],$A15,Operations[[Month]:[Month]],J$1)</f>
        <v>0</v>
      </c>
      <c r="K15" s="11">
        <f>SUMIFS(Operations[[Amount]:[Amount]],Operations[[Category]:[Category]],$A15,Operations[[Month]:[Month]],K$1)</f>
        <v>0</v>
      </c>
      <c r="L15" s="11">
        <f>SUMIFS(Operations[[Amount]:[Amount]],Operations[[Category]:[Category]],$A15,Operations[[Month]:[Month]],L$1)</f>
        <v>0</v>
      </c>
      <c r="M15" s="11">
        <f>SUMIFS(Operations[[Amount]:[Amount]],Operations[[Category]:[Category]],$A15,Operations[[Month]:[Month]],M$1)</f>
        <v>0</v>
      </c>
      <c r="N15" s="11">
        <f>SUMIFS(Operations[[Amount]:[Amount]],Operations[[Category]:[Category]],$A15,Operations[[Month]:[Month]],N$1)</f>
        <v>0</v>
      </c>
      <c r="O15" s="11">
        <f t="shared" si="0"/>
        <v>2750</v>
      </c>
    </row>
    <row r="16" spans="1:15" outlineLevel="2" x14ac:dyDescent="0.25">
      <c r="A16" t="s">
        <v>10</v>
      </c>
      <c r="B16" t="s">
        <v>33</v>
      </c>
      <c r="C16" s="11">
        <f>SUMIFS(Operations[[Amount]:[Amount]],Operations[[Category]:[Category]],$A16,Operations[[Month]:[Month]],C$1)</f>
        <v>4500</v>
      </c>
      <c r="D16" s="11">
        <f>SUMIFS(Operations[[Amount]:[Amount]],Operations[[Category]:[Category]],$A16,Operations[[Month]:[Month]],D$1)</f>
        <v>4500</v>
      </c>
      <c r="E16" s="11">
        <f>SUMIFS(Operations[[Amount]:[Amount]],Operations[[Category]:[Category]],$A16,Operations[[Month]:[Month]],E$1)</f>
        <v>4500</v>
      </c>
      <c r="F16" s="11">
        <f>SUMIFS(Operations[[Amount]:[Amount]],Operations[[Category]:[Category]],$A16,Operations[[Month]:[Month]],F$1)</f>
        <v>4500</v>
      </c>
      <c r="G16" s="11">
        <f>SUMIFS(Operations[[Amount]:[Amount]],Operations[[Category]:[Category]],$A16,Operations[[Month]:[Month]],G$1)</f>
        <v>4500</v>
      </c>
      <c r="H16" s="11">
        <f>SUMIFS(Operations[[Amount]:[Amount]],Operations[[Category]:[Category]],$A16,Operations[[Month]:[Month]],H$1)</f>
        <v>4500</v>
      </c>
      <c r="I16" s="11">
        <f>SUMIFS(Operations[[Amount]:[Amount]],Operations[[Category]:[Category]],$A16,Operations[[Month]:[Month]],I$1)</f>
        <v>4500</v>
      </c>
      <c r="J16" s="11">
        <f>SUMIFS(Operations[[Amount]:[Amount]],Operations[[Category]:[Category]],$A16,Operations[[Month]:[Month]],J$1)</f>
        <v>4500</v>
      </c>
      <c r="K16" s="11">
        <f>SUMIFS(Operations[[Amount]:[Amount]],Operations[[Category]:[Category]],$A16,Operations[[Month]:[Month]],K$1)</f>
        <v>4500</v>
      </c>
      <c r="L16" s="11">
        <f>SUMIFS(Operations[[Amount]:[Amount]],Operations[[Category]:[Category]],$A16,Operations[[Month]:[Month]],L$1)</f>
        <v>4500</v>
      </c>
      <c r="M16" s="11">
        <f>SUMIFS(Operations[[Amount]:[Amount]],Operations[[Category]:[Category]],$A16,Operations[[Month]:[Month]],M$1)</f>
        <v>4500</v>
      </c>
      <c r="N16" s="11">
        <f>SUMIFS(Operations[[Amount]:[Amount]],Operations[[Category]:[Category]],$A16,Operations[[Month]:[Month]],N$1)</f>
        <v>4500</v>
      </c>
      <c r="O16" s="11">
        <f t="shared" si="0"/>
        <v>54000</v>
      </c>
    </row>
    <row r="17" spans="1:15" outlineLevel="2" x14ac:dyDescent="0.25">
      <c r="A17" t="s">
        <v>31</v>
      </c>
      <c r="B17" t="s">
        <v>33</v>
      </c>
      <c r="C17" s="11">
        <f>SUMIFS(Operations[[Amount]:[Amount]],Operations[[Category]:[Category]],$A17,Operations[[Month]:[Month]],C$1)</f>
        <v>0</v>
      </c>
      <c r="D17" s="11">
        <f>SUMIFS(Operations[[Amount]:[Amount]],Operations[[Category]:[Category]],$A17,Operations[[Month]:[Month]],D$1)</f>
        <v>0</v>
      </c>
      <c r="E17" s="11">
        <f>SUMIFS(Operations[[Amount]:[Amount]],Operations[[Category]:[Category]],$A17,Operations[[Month]:[Month]],E$1)</f>
        <v>0</v>
      </c>
      <c r="F17" s="11">
        <f>SUMIFS(Operations[[Amount]:[Amount]],Operations[[Category]:[Category]],$A17,Operations[[Month]:[Month]],F$1)</f>
        <v>0</v>
      </c>
      <c r="G17" s="11">
        <f>SUMIFS(Operations[[Amount]:[Amount]],Operations[[Category]:[Category]],$A17,Operations[[Month]:[Month]],G$1)</f>
        <v>0</v>
      </c>
      <c r="H17" s="11">
        <f>SUMIFS(Operations[[Amount]:[Amount]],Operations[[Category]:[Category]],$A17,Operations[[Month]:[Month]],H$1)</f>
        <v>0</v>
      </c>
      <c r="I17" s="11">
        <f>SUMIFS(Operations[[Amount]:[Amount]],Operations[[Category]:[Category]],$A17,Operations[[Month]:[Month]],I$1)</f>
        <v>500</v>
      </c>
      <c r="J17" s="11">
        <f>SUMIFS(Operations[[Amount]:[Amount]],Operations[[Category]:[Category]],$A17,Operations[[Month]:[Month]],J$1)</f>
        <v>500</v>
      </c>
      <c r="K17" s="11">
        <f>SUMIFS(Operations[[Amount]:[Amount]],Operations[[Category]:[Category]],$A17,Operations[[Month]:[Month]],K$1)</f>
        <v>0</v>
      </c>
      <c r="L17" s="11">
        <f>SUMIFS(Operations[[Amount]:[Amount]],Operations[[Category]:[Category]],$A17,Operations[[Month]:[Month]],L$1)</f>
        <v>0</v>
      </c>
      <c r="M17" s="11">
        <f>SUMIFS(Operations[[Amount]:[Amount]],Operations[[Category]:[Category]],$A17,Operations[[Month]:[Month]],M$1)</f>
        <v>0</v>
      </c>
      <c r="N17" s="11">
        <f>SUMIFS(Operations[[Amount]:[Amount]],Operations[[Category]:[Category]],$A17,Operations[[Month]:[Month]],N$1)</f>
        <v>0</v>
      </c>
      <c r="O17" s="11">
        <f t="shared" si="0"/>
        <v>1000</v>
      </c>
    </row>
    <row r="18" spans="1:15" outlineLevel="1" x14ac:dyDescent="0.25">
      <c r="B18" s="16" t="s">
        <v>51</v>
      </c>
      <c r="C18" s="11">
        <f>SUBTOTAL(9,C12:C17)</f>
        <v>5655.5</v>
      </c>
      <c r="D18" s="11">
        <f>SUBTOTAL(9,D12:D17)</f>
        <v>6565</v>
      </c>
      <c r="E18" s="11">
        <f>SUBTOTAL(9,E12:E17)</f>
        <v>4655</v>
      </c>
      <c r="F18" s="11">
        <f>SUBTOTAL(9,F12:F17)</f>
        <v>4700</v>
      </c>
      <c r="G18" s="11">
        <f>SUBTOTAL(9,G12:G17)</f>
        <v>4500</v>
      </c>
      <c r="H18" s="11">
        <f>SUBTOTAL(9,H12:H17)</f>
        <v>4900</v>
      </c>
      <c r="I18" s="11">
        <f>SUBTOTAL(9,I12:I17)</f>
        <v>5920</v>
      </c>
      <c r="J18" s="11">
        <f>SUBTOTAL(9,J12:J17)</f>
        <v>5400</v>
      </c>
      <c r="K18" s="11">
        <f>SUBTOTAL(9,K12:K17)</f>
        <v>4500</v>
      </c>
      <c r="L18" s="11">
        <f>SUBTOTAL(9,L12:L17)</f>
        <v>4500</v>
      </c>
      <c r="M18" s="11">
        <f>SUBTOTAL(9,M12:M17)</f>
        <v>4900</v>
      </c>
      <c r="N18" s="11">
        <f>SUBTOTAL(9,N12:N17)</f>
        <v>6500</v>
      </c>
      <c r="O18" s="11">
        <f>SUBTOTAL(9,O12:O17)</f>
        <v>62695.5</v>
      </c>
    </row>
    <row r="19" spans="1:15" outlineLevel="2" x14ac:dyDescent="0.25">
      <c r="A19" t="s">
        <v>29</v>
      </c>
      <c r="B19" t="s">
        <v>29</v>
      </c>
      <c r="C19" s="11">
        <f>SUMIFS(Operations[[Amount]:[Amount]],Operations[[Category]:[Category]],$A19,Operations[[Month]:[Month]],C$1)</f>
        <v>0</v>
      </c>
      <c r="D19" s="11">
        <f>SUMIFS(Operations[[Amount]:[Amount]],Operations[[Category]:[Category]],$A19,Operations[[Month]:[Month]],D$1)</f>
        <v>0</v>
      </c>
      <c r="E19" s="11">
        <f>SUMIFS(Operations[[Amount]:[Amount]],Operations[[Category]:[Category]],$A19,Operations[[Month]:[Month]],E$1)</f>
        <v>0</v>
      </c>
      <c r="F19" s="11">
        <f>SUMIFS(Operations[[Amount]:[Amount]],Operations[[Category]:[Category]],$A19,Operations[[Month]:[Month]],F$1)</f>
        <v>0</v>
      </c>
      <c r="G19" s="11">
        <f>SUMIFS(Operations[[Amount]:[Amount]],Operations[[Category]:[Category]],$A19,Operations[[Month]:[Month]],G$1)</f>
        <v>0</v>
      </c>
      <c r="H19" s="11">
        <f>SUMIFS(Operations[[Amount]:[Amount]],Operations[[Category]:[Category]],$A19,Operations[[Month]:[Month]],H$1)</f>
        <v>0</v>
      </c>
      <c r="I19" s="11">
        <f>SUMIFS(Operations[[Amount]:[Amount]],Operations[[Category]:[Category]],$A19,Operations[[Month]:[Month]],I$1)</f>
        <v>0</v>
      </c>
      <c r="J19" s="11">
        <f>SUMIFS(Operations[[Amount]:[Amount]],Operations[[Category]:[Category]],$A19,Operations[[Month]:[Month]],J$1)</f>
        <v>0</v>
      </c>
      <c r="K19" s="11">
        <f>SUMIFS(Operations[[Amount]:[Amount]],Operations[[Category]:[Category]],$A19,Operations[[Month]:[Month]],K$1)</f>
        <v>0</v>
      </c>
      <c r="L19" s="11">
        <f>SUMIFS(Operations[[Amount]:[Amount]],Operations[[Category]:[Category]],$A19,Operations[[Month]:[Month]],L$1)</f>
        <v>0</v>
      </c>
      <c r="M19" s="11">
        <f>SUMIFS(Operations[[Amount]:[Amount]],Operations[[Category]:[Category]],$A19,Operations[[Month]:[Month]],M$1)</f>
        <v>0</v>
      </c>
      <c r="N19" s="11">
        <f>SUMIFS(Operations[[Amount]:[Amount]],Operations[[Category]:[Category]],$A19,Operations[[Month]:[Month]],N$1)</f>
        <v>0</v>
      </c>
      <c r="O19" s="11">
        <f t="shared" si="0"/>
        <v>0</v>
      </c>
    </row>
    <row r="20" spans="1:15" outlineLevel="1" x14ac:dyDescent="0.25">
      <c r="B20" s="16" t="s">
        <v>52</v>
      </c>
      <c r="C20" s="11">
        <f>SUBTOTAL(9,C19:C19)</f>
        <v>0</v>
      </c>
      <c r="D20" s="11">
        <f>SUBTOTAL(9,D19:D19)</f>
        <v>0</v>
      </c>
      <c r="E20" s="11">
        <f>SUBTOTAL(9,E19:E19)</f>
        <v>0</v>
      </c>
      <c r="F20" s="11">
        <f>SUBTOTAL(9,F19:F19)</f>
        <v>0</v>
      </c>
      <c r="G20" s="11">
        <f>SUBTOTAL(9,G19:G19)</f>
        <v>0</v>
      </c>
      <c r="H20" s="11">
        <f>SUBTOTAL(9,H19:H19)</f>
        <v>0</v>
      </c>
      <c r="I20" s="11">
        <f>SUBTOTAL(9,I19:I19)</f>
        <v>0</v>
      </c>
      <c r="J20" s="11">
        <f>SUBTOTAL(9,J19:J19)</f>
        <v>0</v>
      </c>
      <c r="K20" s="11">
        <f>SUBTOTAL(9,K19:K19)</f>
        <v>0</v>
      </c>
      <c r="L20" s="11">
        <f>SUBTOTAL(9,L19:L19)</f>
        <v>0</v>
      </c>
      <c r="M20" s="11">
        <f>SUBTOTAL(9,M19:M19)</f>
        <v>0</v>
      </c>
      <c r="N20" s="11">
        <f>SUBTOTAL(9,N19:N19)</f>
        <v>0</v>
      </c>
      <c r="O20" s="11">
        <f>SUBTOTAL(9,O19:O19)</f>
        <v>0</v>
      </c>
    </row>
    <row r="21" spans="1:15" x14ac:dyDescent="0.25">
      <c r="B21" s="16" t="s">
        <v>53</v>
      </c>
      <c r="C21" s="11">
        <f>SUBTOTAL(9,C2:C19)</f>
        <v>845.5</v>
      </c>
      <c r="D21" s="11">
        <f>SUBTOTAL(9,D2:D19)</f>
        <v>2464.5</v>
      </c>
      <c r="E21" s="11">
        <f>SUBTOTAL(9,E2:E19)</f>
        <v>755.60999999999967</v>
      </c>
      <c r="F21" s="11">
        <f>SUBTOTAL(9,F2:F19)</f>
        <v>726.84000000000015</v>
      </c>
      <c r="G21" s="11">
        <f>SUBTOTAL(9,G2:G19)</f>
        <v>1290</v>
      </c>
      <c r="H21" s="11">
        <f>SUBTOTAL(9,H2:H19)</f>
        <v>1170</v>
      </c>
      <c r="I21" s="11">
        <f>SUBTOTAL(9,I2:I19)</f>
        <v>2915</v>
      </c>
      <c r="J21" s="11">
        <f>SUBTOTAL(9,J2:J19)</f>
        <v>1410.5</v>
      </c>
      <c r="K21" s="11">
        <f>SUBTOTAL(9,K2:K19)</f>
        <v>1751.5</v>
      </c>
      <c r="L21" s="11">
        <f>SUBTOTAL(9,L2:L19)</f>
        <v>1670</v>
      </c>
      <c r="M21" s="11">
        <f>SUBTOTAL(9,M2:M19)</f>
        <v>1400</v>
      </c>
      <c r="N21" s="11">
        <f>SUBTOTAL(9,N2:N19)</f>
        <v>2420</v>
      </c>
      <c r="O21" s="11">
        <f>SUBTOTAL(9,O2:O19)</f>
        <v>18819.449999999997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F2CF-025E-4B1B-94F1-07ECAB886C8E}">
  <dimension ref="A3:O24"/>
  <sheetViews>
    <sheetView tabSelected="1" workbookViewId="0">
      <selection activeCell="E28" sqref="E28"/>
    </sheetView>
  </sheetViews>
  <sheetFormatPr defaultRowHeight="15" x14ac:dyDescent="0.25"/>
  <cols>
    <col min="1" max="1" width="18.85546875" bestFit="1" customWidth="1"/>
    <col min="2" max="2" width="15.140625" bestFit="1" customWidth="1"/>
    <col min="3" max="14" width="11.28515625" bestFit="1" customWidth="1"/>
    <col min="15" max="15" width="12.28515625" bestFit="1" customWidth="1"/>
  </cols>
  <sheetData>
    <row r="3" spans="1:15" x14ac:dyDescent="0.25">
      <c r="A3" s="17" t="s">
        <v>54</v>
      </c>
      <c r="C3" s="17" t="s">
        <v>6</v>
      </c>
    </row>
    <row r="4" spans="1:15" x14ac:dyDescent="0.25">
      <c r="A4" s="17" t="s">
        <v>4</v>
      </c>
      <c r="B4" s="17" t="s">
        <v>3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53</v>
      </c>
    </row>
    <row r="5" spans="1:15" x14ac:dyDescent="0.25">
      <c r="A5" t="s">
        <v>32</v>
      </c>
      <c r="B5" t="s">
        <v>11</v>
      </c>
      <c r="C5" s="18">
        <v>-2000</v>
      </c>
      <c r="D5" s="18">
        <v>-2000</v>
      </c>
      <c r="E5" s="18">
        <v>-2000</v>
      </c>
      <c r="F5" s="18">
        <v>-2000</v>
      </c>
      <c r="G5" s="18">
        <v>-2000</v>
      </c>
      <c r="H5" s="18">
        <v>-2000</v>
      </c>
      <c r="I5" s="18">
        <v>-2000</v>
      </c>
      <c r="J5" s="18">
        <v>-2000</v>
      </c>
      <c r="K5" s="18">
        <v>-2000</v>
      </c>
      <c r="L5" s="18">
        <v>-2000</v>
      </c>
      <c r="M5" s="18">
        <v>-2000</v>
      </c>
      <c r="N5" s="18">
        <v>-2000</v>
      </c>
      <c r="O5" s="18">
        <v>-24000</v>
      </c>
    </row>
    <row r="6" spans="1:15" x14ac:dyDescent="0.25">
      <c r="A6" t="s">
        <v>32</v>
      </c>
      <c r="B6" t="s">
        <v>22</v>
      </c>
      <c r="C6" s="18">
        <v>-80</v>
      </c>
      <c r="D6" s="18"/>
      <c r="E6" s="18">
        <v>-469.9</v>
      </c>
      <c r="F6" s="18">
        <v>-149</v>
      </c>
      <c r="G6" s="18"/>
      <c r="H6" s="18">
        <v>-300</v>
      </c>
      <c r="I6" s="18">
        <v>250</v>
      </c>
      <c r="J6" s="18">
        <v>-300</v>
      </c>
      <c r="K6" s="18"/>
      <c r="L6" s="18"/>
      <c r="M6" s="18">
        <v>-158</v>
      </c>
      <c r="N6" s="18">
        <v>-120</v>
      </c>
      <c r="O6" s="18">
        <v>-1326.9</v>
      </c>
    </row>
    <row r="7" spans="1:15" x14ac:dyDescent="0.25">
      <c r="A7" t="s">
        <v>32</v>
      </c>
      <c r="B7" t="s">
        <v>20</v>
      </c>
      <c r="C7" s="18">
        <v>-85</v>
      </c>
      <c r="D7" s="18">
        <v>-350</v>
      </c>
      <c r="E7" s="18">
        <v>-200</v>
      </c>
      <c r="F7" s="18">
        <v>-1057.9000000000001</v>
      </c>
      <c r="G7" s="18">
        <v>-80</v>
      </c>
      <c r="H7" s="18">
        <v>-200</v>
      </c>
      <c r="I7" s="18">
        <v>-700</v>
      </c>
      <c r="J7" s="18">
        <v>-250</v>
      </c>
      <c r="K7" s="18">
        <v>-20</v>
      </c>
      <c r="L7" s="18">
        <v>-40</v>
      </c>
      <c r="M7" s="18">
        <v>-214</v>
      </c>
      <c r="N7" s="18">
        <v>-450</v>
      </c>
      <c r="O7" s="18">
        <v>-3646.9</v>
      </c>
    </row>
    <row r="8" spans="1:15" x14ac:dyDescent="0.25">
      <c r="A8" t="s">
        <v>32</v>
      </c>
      <c r="B8" t="s">
        <v>9</v>
      </c>
      <c r="C8" s="18">
        <v>-1715</v>
      </c>
      <c r="D8" s="18">
        <v>-405.5</v>
      </c>
      <c r="E8" s="18">
        <v>-734.99</v>
      </c>
      <c r="F8" s="18">
        <v>-372.26</v>
      </c>
      <c r="G8" s="18">
        <v>-1000</v>
      </c>
      <c r="H8" s="18">
        <v>-1000</v>
      </c>
      <c r="I8" s="18">
        <v>-165</v>
      </c>
      <c r="J8" s="18">
        <v>-749.5</v>
      </c>
      <c r="K8" s="18">
        <v>-538.5</v>
      </c>
      <c r="L8" s="18">
        <v>-600</v>
      </c>
      <c r="M8" s="18">
        <v>-506</v>
      </c>
      <c r="N8" s="18">
        <v>-700</v>
      </c>
      <c r="O8" s="18">
        <v>-8486.75</v>
      </c>
    </row>
    <row r="9" spans="1:15" x14ac:dyDescent="0.25">
      <c r="A9" t="s">
        <v>32</v>
      </c>
      <c r="B9" t="s">
        <v>28</v>
      </c>
      <c r="C9" s="18">
        <v>-100</v>
      </c>
      <c r="D9" s="18">
        <v>-250</v>
      </c>
      <c r="E9" s="18">
        <v>-9.5</v>
      </c>
      <c r="F9" s="18">
        <v>-23.5</v>
      </c>
      <c r="G9" s="18"/>
      <c r="H9" s="18">
        <v>-100</v>
      </c>
      <c r="I9" s="18">
        <v>-300</v>
      </c>
      <c r="J9" s="18">
        <v>-400</v>
      </c>
      <c r="K9" s="18"/>
      <c r="L9" s="18"/>
      <c r="M9" s="18">
        <v>-133</v>
      </c>
      <c r="N9" s="18">
        <v>-10</v>
      </c>
      <c r="O9" s="18">
        <v>-1326</v>
      </c>
    </row>
    <row r="10" spans="1:15" x14ac:dyDescent="0.25">
      <c r="A10" t="s">
        <v>32</v>
      </c>
      <c r="B10" t="s">
        <v>14</v>
      </c>
      <c r="C10" s="18">
        <v>-150</v>
      </c>
      <c r="D10" s="18">
        <v>-150</v>
      </c>
      <c r="E10" s="18">
        <v>-23</v>
      </c>
      <c r="F10" s="18">
        <v>-49</v>
      </c>
      <c r="G10" s="18">
        <v>-50</v>
      </c>
      <c r="H10" s="18">
        <v>-50</v>
      </c>
      <c r="I10" s="18"/>
      <c r="J10" s="18"/>
      <c r="K10" s="18">
        <v>-40</v>
      </c>
      <c r="L10" s="18">
        <v>-40</v>
      </c>
      <c r="M10" s="18">
        <v>-47</v>
      </c>
      <c r="N10" s="18"/>
      <c r="O10" s="18">
        <v>-599</v>
      </c>
    </row>
    <row r="11" spans="1:15" x14ac:dyDescent="0.25">
      <c r="A11" t="s">
        <v>32</v>
      </c>
      <c r="B11" t="s">
        <v>17</v>
      </c>
      <c r="C11" s="18">
        <v>-500</v>
      </c>
      <c r="D11" s="18">
        <v>-765</v>
      </c>
      <c r="E11" s="18">
        <v>-300</v>
      </c>
      <c r="F11" s="18">
        <v>-100</v>
      </c>
      <c r="G11" s="18"/>
      <c r="H11" s="18"/>
      <c r="I11" s="18"/>
      <c r="J11" s="18"/>
      <c r="K11" s="18"/>
      <c r="L11" s="18"/>
      <c r="M11" s="18">
        <v>-234</v>
      </c>
      <c r="N11" s="18">
        <v>-700</v>
      </c>
      <c r="O11" s="18">
        <v>-2599</v>
      </c>
    </row>
    <row r="12" spans="1:15" x14ac:dyDescent="0.25">
      <c r="A12" t="s">
        <v>32</v>
      </c>
      <c r="B12" t="s">
        <v>23</v>
      </c>
      <c r="C12" s="18">
        <v>-100</v>
      </c>
      <c r="D12" s="18">
        <v>-100</v>
      </c>
      <c r="E12" s="18">
        <v>-79.5</v>
      </c>
      <c r="F12" s="18">
        <v>-139</v>
      </c>
      <c r="G12" s="18"/>
      <c r="H12" s="18"/>
      <c r="I12" s="18"/>
      <c r="J12" s="18"/>
      <c r="K12" s="18"/>
      <c r="L12" s="18"/>
      <c r="M12" s="18"/>
      <c r="N12" s="18">
        <v>-100</v>
      </c>
      <c r="O12" s="18">
        <v>-518.5</v>
      </c>
    </row>
    <row r="13" spans="1:15" x14ac:dyDescent="0.25">
      <c r="A13" t="s">
        <v>32</v>
      </c>
      <c r="B13" t="s">
        <v>21</v>
      </c>
      <c r="C13" s="18">
        <v>-80</v>
      </c>
      <c r="D13" s="18">
        <v>-80</v>
      </c>
      <c r="E13" s="18">
        <v>-82.5</v>
      </c>
      <c r="F13" s="18">
        <v>-82.5</v>
      </c>
      <c r="G13" s="18">
        <v>-80</v>
      </c>
      <c r="H13" s="18">
        <v>-80</v>
      </c>
      <c r="I13" s="18">
        <v>-90</v>
      </c>
      <c r="J13" s="18">
        <v>-290</v>
      </c>
      <c r="K13" s="18">
        <v>-150</v>
      </c>
      <c r="L13" s="18">
        <v>-150</v>
      </c>
      <c r="M13" s="18">
        <v>-208</v>
      </c>
      <c r="N13" s="18"/>
      <c r="O13" s="18">
        <v>-1373</v>
      </c>
    </row>
    <row r="14" spans="1:15" x14ac:dyDescent="0.25">
      <c r="A14" t="s">
        <v>50</v>
      </c>
      <c r="C14" s="18">
        <v>-4810</v>
      </c>
      <c r="D14" s="18">
        <v>-4100.5</v>
      </c>
      <c r="E14" s="18">
        <v>-3899.3900000000003</v>
      </c>
      <c r="F14" s="18">
        <v>-3973.16</v>
      </c>
      <c r="G14" s="18">
        <v>-3210</v>
      </c>
      <c r="H14" s="18">
        <v>-3730</v>
      </c>
      <c r="I14" s="18">
        <v>-3005</v>
      </c>
      <c r="J14" s="18">
        <v>-3989.5</v>
      </c>
      <c r="K14" s="18">
        <v>-2748.5</v>
      </c>
      <c r="L14" s="18">
        <v>-2830</v>
      </c>
      <c r="M14" s="18">
        <v>-3500</v>
      </c>
      <c r="N14" s="18">
        <v>-4080</v>
      </c>
      <c r="O14" s="18">
        <v>-43876.05</v>
      </c>
    </row>
    <row r="15" spans="1:15" x14ac:dyDescent="0.25">
      <c r="A15" t="s">
        <v>33</v>
      </c>
      <c r="B15" t="s">
        <v>19</v>
      </c>
      <c r="C15" s="18">
        <v>250</v>
      </c>
      <c r="D15" s="18"/>
      <c r="E15" s="18"/>
      <c r="F15" s="18"/>
      <c r="G15" s="18"/>
      <c r="H15" s="18">
        <v>400</v>
      </c>
      <c r="I15" s="18"/>
      <c r="J15" s="18"/>
      <c r="K15" s="18"/>
      <c r="L15" s="18"/>
      <c r="M15" s="18"/>
      <c r="N15" s="18"/>
      <c r="O15" s="18">
        <v>650</v>
      </c>
    </row>
    <row r="16" spans="1:15" x14ac:dyDescent="0.25">
      <c r="A16" t="s">
        <v>33</v>
      </c>
      <c r="B16" t="s">
        <v>27</v>
      </c>
      <c r="C16" s="18">
        <v>105.5</v>
      </c>
      <c r="D16" s="18">
        <v>115</v>
      </c>
      <c r="E16" s="18">
        <v>150</v>
      </c>
      <c r="F16" s="18">
        <v>150</v>
      </c>
      <c r="G16" s="18"/>
      <c r="H16" s="18"/>
      <c r="I16" s="18">
        <v>120</v>
      </c>
      <c r="J16" s="18"/>
      <c r="K16" s="18"/>
      <c r="L16" s="18"/>
      <c r="M16" s="18"/>
      <c r="N16" s="18"/>
      <c r="O16" s="18">
        <v>640.5</v>
      </c>
    </row>
    <row r="17" spans="1:15" x14ac:dyDescent="0.25">
      <c r="A17" t="s">
        <v>33</v>
      </c>
      <c r="B17" t="s">
        <v>30</v>
      </c>
      <c r="C17" s="18"/>
      <c r="D17" s="18"/>
      <c r="E17" s="18">
        <v>5</v>
      </c>
      <c r="F17" s="18">
        <v>50</v>
      </c>
      <c r="G17" s="18"/>
      <c r="H17" s="18"/>
      <c r="I17" s="18">
        <v>800</v>
      </c>
      <c r="J17" s="18">
        <v>400</v>
      </c>
      <c r="K17" s="18"/>
      <c r="L17" s="18"/>
      <c r="M17" s="18">
        <v>400</v>
      </c>
      <c r="N17" s="18">
        <v>2000</v>
      </c>
      <c r="O17" s="18">
        <v>3655</v>
      </c>
    </row>
    <row r="18" spans="1:15" x14ac:dyDescent="0.25">
      <c r="A18" t="s">
        <v>33</v>
      </c>
      <c r="B18" t="s">
        <v>15</v>
      </c>
      <c r="C18" s="18">
        <v>800</v>
      </c>
      <c r="D18" s="18">
        <v>1950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>
        <v>2750</v>
      </c>
    </row>
    <row r="19" spans="1:15" x14ac:dyDescent="0.25">
      <c r="A19" t="s">
        <v>33</v>
      </c>
      <c r="B19" t="s">
        <v>10</v>
      </c>
      <c r="C19" s="18">
        <v>4500</v>
      </c>
      <c r="D19" s="18">
        <v>4500</v>
      </c>
      <c r="E19" s="18">
        <v>4500</v>
      </c>
      <c r="F19" s="18">
        <v>4500</v>
      </c>
      <c r="G19" s="18">
        <v>4500</v>
      </c>
      <c r="H19" s="18">
        <v>4500</v>
      </c>
      <c r="I19" s="18">
        <v>4500</v>
      </c>
      <c r="J19" s="18">
        <v>4500</v>
      </c>
      <c r="K19" s="18">
        <v>4500</v>
      </c>
      <c r="L19" s="18">
        <v>4500</v>
      </c>
      <c r="M19" s="18">
        <v>4500</v>
      </c>
      <c r="N19" s="18">
        <v>4500</v>
      </c>
      <c r="O19" s="18">
        <v>54000</v>
      </c>
    </row>
    <row r="20" spans="1:15" x14ac:dyDescent="0.25">
      <c r="A20" t="s">
        <v>33</v>
      </c>
      <c r="B20" t="s">
        <v>31</v>
      </c>
      <c r="C20" s="18"/>
      <c r="D20" s="18"/>
      <c r="E20" s="18"/>
      <c r="F20" s="18"/>
      <c r="G20" s="18"/>
      <c r="H20" s="18"/>
      <c r="I20" s="18">
        <v>500</v>
      </c>
      <c r="J20" s="18">
        <v>500</v>
      </c>
      <c r="K20" s="18"/>
      <c r="L20" s="18"/>
      <c r="M20" s="18"/>
      <c r="N20" s="18"/>
      <c r="O20" s="18">
        <v>1000</v>
      </c>
    </row>
    <row r="21" spans="1:15" x14ac:dyDescent="0.25">
      <c r="A21" t="s">
        <v>51</v>
      </c>
      <c r="C21" s="18">
        <v>5655.5</v>
      </c>
      <c r="D21" s="18">
        <v>6565</v>
      </c>
      <c r="E21" s="18">
        <v>4655</v>
      </c>
      <c r="F21" s="18">
        <v>4700</v>
      </c>
      <c r="G21" s="18">
        <v>4500</v>
      </c>
      <c r="H21" s="18">
        <v>4900</v>
      </c>
      <c r="I21" s="18">
        <v>5920</v>
      </c>
      <c r="J21" s="18">
        <v>5400</v>
      </c>
      <c r="K21" s="18">
        <v>4500</v>
      </c>
      <c r="L21" s="18">
        <v>4500</v>
      </c>
      <c r="M21" s="18">
        <v>4900</v>
      </c>
      <c r="N21" s="18">
        <v>6500</v>
      </c>
      <c r="O21" s="18">
        <v>62695.5</v>
      </c>
    </row>
    <row r="22" spans="1:15" x14ac:dyDescent="0.25">
      <c r="A22" t="s">
        <v>29</v>
      </c>
      <c r="B22" t="s">
        <v>29</v>
      </c>
      <c r="C22" s="18"/>
      <c r="D22" s="18">
        <v>0</v>
      </c>
      <c r="E22" s="18"/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/>
      <c r="O22" s="18">
        <v>0</v>
      </c>
    </row>
    <row r="23" spans="1:15" x14ac:dyDescent="0.25">
      <c r="A23" t="s">
        <v>52</v>
      </c>
      <c r="C23" s="18"/>
      <c r="D23" s="18">
        <v>0</v>
      </c>
      <c r="E23" s="18"/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/>
      <c r="O23" s="18">
        <v>0</v>
      </c>
    </row>
    <row r="24" spans="1:15" x14ac:dyDescent="0.25">
      <c r="A24" t="s">
        <v>53</v>
      </c>
      <c r="C24" s="18">
        <v>845.5</v>
      </c>
      <c r="D24" s="18">
        <v>2464.5</v>
      </c>
      <c r="E24" s="18">
        <v>755.60999999999967</v>
      </c>
      <c r="F24" s="18">
        <v>726.84000000000015</v>
      </c>
      <c r="G24" s="18">
        <v>1290</v>
      </c>
      <c r="H24" s="18">
        <v>1170</v>
      </c>
      <c r="I24" s="18">
        <v>2915</v>
      </c>
      <c r="J24" s="18">
        <v>1410.5</v>
      </c>
      <c r="K24" s="18">
        <v>1751.5</v>
      </c>
      <c r="L24" s="18">
        <v>1670</v>
      </c>
      <c r="M24" s="18">
        <v>1400</v>
      </c>
      <c r="N24" s="18">
        <v>2420</v>
      </c>
      <c r="O24" s="18">
        <v>18819.449999999997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8BC-346F-440D-893F-8B05D08ED167}">
  <dimension ref="A1:K17"/>
  <sheetViews>
    <sheetView zoomScale="160" zoomScaleNormal="160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>
        <v>100</v>
      </c>
      <c r="D2" s="11">
        <f ca="1">SUMIFS(Operations[Amount],Operations[Bank],flow_1[[#This Row],[Bank]],Operations[Product],flow_1[[#This Row],[Product]],Operations[Month],$B$11)</f>
        <v>-35</v>
      </c>
      <c r="E2" s="11">
        <f ca="1">flow_1[[#This Row],[Opening balance]]+flow_1[[#This Row],[Operations]]</f>
        <v>65</v>
      </c>
      <c r="G2" t="s">
        <v>19</v>
      </c>
      <c r="H2" s="11">
        <f ca="1">SUMIFS(Operations[Amount],Operations[Month],$B$11,Operations[Category],incomes_1[[#This Row],[Category]])</f>
        <v>250</v>
      </c>
      <c r="J2" t="s">
        <v>11</v>
      </c>
      <c r="K2" s="11">
        <f ca="1">SUMIFS(Operations[Amount],Operations[Month],$B$11,Operations[Category],expenses_1[[#This Row],[Category]])</f>
        <v>-2000</v>
      </c>
    </row>
    <row r="3" spans="1:11" x14ac:dyDescent="0.25">
      <c r="A3" t="s">
        <v>12</v>
      </c>
      <c r="B3" t="s">
        <v>18</v>
      </c>
      <c r="C3" s="11">
        <v>10.5</v>
      </c>
      <c r="D3" s="11">
        <f ca="1">SUMIFS(Operations[Amount],Operations[Bank],flow_1[[#This Row],[Bank]],Operations[Product],flow_1[[#This Row],[Product]],Operations[Month],$B$11)</f>
        <v>255.5</v>
      </c>
      <c r="E3" s="11">
        <f ca="1">flow_1[[#This Row],[Opening balance]]+flow_1[[#This Row],[Operations]]</f>
        <v>266</v>
      </c>
      <c r="G3" t="s">
        <v>27</v>
      </c>
      <c r="H3" s="11">
        <f ca="1">SUMIFS(Operations[Amount],Operations[Month],$B$11,Operations[Category],incomes_1[[#This Row],[Category]])</f>
        <v>105.5</v>
      </c>
      <c r="J3" t="s">
        <v>22</v>
      </c>
      <c r="K3" s="11">
        <f ca="1">SUMIFS(Operations[Amount],Operations[Month],$B$11,Operations[Category],expenses_1[[#This Row],[Category]])</f>
        <v>-80</v>
      </c>
    </row>
    <row r="4" spans="1:11" x14ac:dyDescent="0.25">
      <c r="A4" t="s">
        <v>7</v>
      </c>
      <c r="B4" t="s">
        <v>8</v>
      </c>
      <c r="C4" s="11">
        <v>600</v>
      </c>
      <c r="D4" s="11">
        <f ca="1">SUMIFS(Operations[Amount],Operations[Bank],flow_1[[#This Row],[Bank]],Operations[Product],flow_1[[#This Row],[Product]],Operations[Month],$B$11)</f>
        <v>1100</v>
      </c>
      <c r="E4" s="11">
        <f ca="1">flow_1[[#This Row],[Opening balance]]+flow_1[[#This Row],[Operations]]</f>
        <v>1700</v>
      </c>
      <c r="G4" t="s">
        <v>30</v>
      </c>
      <c r="H4" s="11">
        <f ca="1">SUMIFS(Operations[Amount],Operations[Month],$B$11,Operations[Category],incomes_1[[#This Row],[Category]])</f>
        <v>0</v>
      </c>
      <c r="J4" t="s">
        <v>20</v>
      </c>
      <c r="K4" s="11">
        <f ca="1">SUMIFS(Operations[Amount],Operations[Month],$B$11,Operations[Category],expenses_1[[#This Row],[Category]])</f>
        <v>-85</v>
      </c>
    </row>
    <row r="5" spans="1:11" x14ac:dyDescent="0.25">
      <c r="A5" t="s">
        <v>7</v>
      </c>
      <c r="B5" t="s">
        <v>13</v>
      </c>
      <c r="C5" s="11">
        <v>0</v>
      </c>
      <c r="D5" s="11">
        <f ca="1">SUMIFS(Operations[Amount],Operations[Bank],flow_1[[#This Row],[Bank]],Operations[Product],flow_1[[#This Row],[Product]],Operations[Month],$B$11)</f>
        <v>-175</v>
      </c>
      <c r="E5" s="11">
        <f ca="1">flow_1[[#This Row],[Opening balance]]+flow_1[[#This Row],[Operations]]</f>
        <v>-175</v>
      </c>
      <c r="G5" t="s">
        <v>15</v>
      </c>
      <c r="H5" s="11">
        <f ca="1">SUMIFS(Operations[Amount],Operations[Month],$B$11,Operations[Category],incomes_1[[#This Row],[Category]])</f>
        <v>800</v>
      </c>
      <c r="J5" t="s">
        <v>9</v>
      </c>
      <c r="K5" s="11">
        <f ca="1">SUMIFS(Operations[Amount],Operations[Month],$B$11,Operations[Category],expenses_1[[#This Row],[Category]])</f>
        <v>-1715</v>
      </c>
    </row>
    <row r="6" spans="1:11" x14ac:dyDescent="0.25">
      <c r="A6" t="s">
        <v>7</v>
      </c>
      <c r="B6" t="s">
        <v>16</v>
      </c>
      <c r="C6" s="11">
        <v>2000</v>
      </c>
      <c r="D6" s="11">
        <f ca="1">SUMIFS(Operations[Amount],Operations[Bank],flow_1[[#This Row],[Bank]],Operations[Product],flow_1[[#This Row],[Product]],Operations[Month],$B$11)</f>
        <v>-400</v>
      </c>
      <c r="E6" s="11">
        <f ca="1">flow_1[[#This Row],[Opening balance]]+flow_1[[#This Row],[Operations]]</f>
        <v>1600</v>
      </c>
      <c r="G6" t="s">
        <v>10</v>
      </c>
      <c r="H6" s="11">
        <f ca="1">SUMIFS(Operations[Amount],Operations[Month],$B$11,Operations[Category],incomes_1[[#This Row],[Category]])</f>
        <v>4500</v>
      </c>
      <c r="J6" t="s">
        <v>28</v>
      </c>
      <c r="K6" s="11">
        <f ca="1">SUMIFS(Operations[Amount],Operations[Month],$B$11,Operations[Category],expenses_1[[#This Row],[Category]])</f>
        <v>-100</v>
      </c>
    </row>
    <row r="7" spans="1:11" x14ac:dyDescent="0.25">
      <c r="A7" t="s">
        <v>24</v>
      </c>
      <c r="B7" t="s">
        <v>25</v>
      </c>
      <c r="C7" s="11">
        <v>200</v>
      </c>
      <c r="D7" s="11">
        <f ca="1">SUMIFS(Operations[Amount],Operations[Bank],flow_1[[#This Row],[Bank]],Operations[Product],flow_1[[#This Row],[Product]],Operations[Month],$B$11)</f>
        <v>-50</v>
      </c>
      <c r="E7" s="11">
        <f ca="1">flow_1[[#This Row],[Opening balance]]+flow_1[[#This Row],[Operations]]</f>
        <v>150</v>
      </c>
      <c r="G7" t="s">
        <v>31</v>
      </c>
      <c r="H7" s="11">
        <f ca="1">SUMIFS(Operations[Amount],Operations[Month],$B$11,Operations[Category],incomes_1[[#This Row],[Category]])</f>
        <v>0</v>
      </c>
      <c r="J7" t="s">
        <v>14</v>
      </c>
      <c r="K7" s="11">
        <f ca="1">SUMIFS(Operations[Amount],Operations[Month],$B$11,Operations[Category],expenses_1[[#This Row],[Category]])</f>
        <v>-150</v>
      </c>
    </row>
    <row r="8" spans="1:11" x14ac:dyDescent="0.25">
      <c r="A8" t="s">
        <v>24</v>
      </c>
      <c r="B8" t="s">
        <v>26</v>
      </c>
      <c r="C8" s="11">
        <v>30</v>
      </c>
      <c r="D8" s="11">
        <f ca="1">SUMIFS(Operations[Amount],Operations[Bank],flow_1[[#This Row],[Bank]],Operations[Product],flow_1[[#This Row],[Product]],Operations[Month],$B$11)</f>
        <v>150</v>
      </c>
      <c r="E8" s="11">
        <f ca="1">flow_1[[#This Row],[Opening balance]]+flow_1[[#This Row],[Operations]]</f>
        <v>180</v>
      </c>
      <c r="G8" t="s">
        <v>37</v>
      </c>
      <c r="H8" s="12">
        <f ca="1">SUBTOTAL(109,incomes_1[Total])</f>
        <v>5655.5</v>
      </c>
      <c r="J8" t="s">
        <v>17</v>
      </c>
      <c r="K8" s="11">
        <f ca="1">SUMIFS(Operations[Amount],Operations[Month],$B$11,Operations[Category],expenses_1[[#This Row],[Category]])</f>
        <v>-500</v>
      </c>
    </row>
    <row r="9" spans="1:11" x14ac:dyDescent="0.25">
      <c r="A9" t="s">
        <v>37</v>
      </c>
      <c r="C9" s="11">
        <f>SUBTOTAL(109,flow_1[Opening balance])</f>
        <v>2940.5</v>
      </c>
      <c r="D9" s="11">
        <f ca="1">SUBTOTAL(109,flow_1[Operations])</f>
        <v>845.5</v>
      </c>
      <c r="E9" s="11">
        <f ca="1">SUBTOTAL(109,flow_1[Closing balance])</f>
        <v>3786</v>
      </c>
      <c r="J9" t="s">
        <v>23</v>
      </c>
      <c r="K9" s="11">
        <f ca="1">SUMIFS(Operations[Amount],Operations[Month],$B$11,Operations[Category],expenses_1[[#This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</v>
      </c>
      <c r="J11" t="s">
        <v>37</v>
      </c>
      <c r="K11" s="11">
        <f ca="1">SUBTOTAL(109,expenses_1[Total])</f>
        <v>-4810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11">
        <f ca="1">SUMIFS(Operations[Amount],Operations[Month],$B$11,Operations[Type],balance_1[[#This Row],[Type]])</f>
        <v>5655.5</v>
      </c>
    </row>
    <row r="16" spans="1:11" x14ac:dyDescent="0.25">
      <c r="A16" t="s">
        <v>29</v>
      </c>
      <c r="B16" s="11">
        <f ca="1">SUMIFS(Operations[Amount],Operations[Month],$B$11,Operations[Type],balance_1[[#This Row],[Type]])</f>
        <v>0</v>
      </c>
    </row>
    <row r="17" spans="1:2" x14ac:dyDescent="0.25">
      <c r="A17" t="s">
        <v>37</v>
      </c>
      <c r="B17" s="11">
        <f ca="1">SUBTOTAL(109,balance_1[Total])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5875-A205-407C-8FEB-F0FEA2F3DFB6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65</v>
      </c>
      <c r="D2" s="11">
        <f ca="1">SUMIFS(Operations[Amount],Operations[Bank],flow_2[[#This Row],[Bank]],Operations[Product],flow_2[[#This Row],[Product]],Operations[Month],$B$11)</f>
        <v>35</v>
      </c>
      <c r="E2" s="11">
        <f ca="1">flow_2[[#This Row],[Opening balance]]+flow_2[[#This Row],[Operations]]</f>
        <v>100</v>
      </c>
      <c r="G2" t="s">
        <v>19</v>
      </c>
      <c r="H2" s="11">
        <f ca="1">SUMIFS(Operations[Amount],Operations[Month],$B$11,Operations[Category],incomes_2[[#This Row],[Category]])</f>
        <v>0</v>
      </c>
      <c r="J2" t="s">
        <v>11</v>
      </c>
      <c r="K2" s="11">
        <f ca="1">SUMIFS(Operations[Amount],Operations[Month],$B$11,Operations[Category],expenses_2[[#This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266</v>
      </c>
      <c r="D3" s="11">
        <f ca="1">SUMIFS(Operations[Amount],Operations[Bank],flow_2[[#This Row],[Bank]],Operations[Product],flow_2[[#This Row],[Product]],Operations[Month],$B$11)</f>
        <v>15</v>
      </c>
      <c r="E3" s="11">
        <f ca="1">flow_2[[#This Row],[Opening balance]]+flow_2[[#This Row],[Operations]]</f>
        <v>281</v>
      </c>
      <c r="G3" t="s">
        <v>27</v>
      </c>
      <c r="H3" s="11">
        <f ca="1">SUMIFS(Operations[Amount],Operations[Month],$B$11,Operations[Category],incomes_2[[#This Row],[Category]])</f>
        <v>115</v>
      </c>
      <c r="J3" t="s">
        <v>22</v>
      </c>
      <c r="K3" s="11">
        <f ca="1">SUMIFS(Operations[Amount],Operations[Month],$B$11,Operations[Category],expenses_2[[#This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1700</v>
      </c>
      <c r="D4" s="11">
        <f ca="1">SUMIFS(Operations[Amount],Operations[Bank],flow_2[[#This Row],[Bank]],Operations[Product],flow_2[[#This Row],[Product]],Operations[Month],$B$11)</f>
        <v>2039.5</v>
      </c>
      <c r="E4" s="11">
        <f ca="1">flow_2[[#This Row],[Opening balance]]+flow_2[[#This Row],[Operations]]</f>
        <v>3739.5</v>
      </c>
      <c r="G4" t="s">
        <v>30</v>
      </c>
      <c r="H4" s="11">
        <f ca="1">SUMIFS(Operations[Amount],Operations[Month],$B$11,Operations[Category],incomes_2[[#This Row],[Category]])</f>
        <v>0</v>
      </c>
      <c r="J4" t="s">
        <v>20</v>
      </c>
      <c r="K4" s="11">
        <f ca="1">SUMIFS(Operations[Amount],Operations[Month],$B$11,Operations[Category],expenses_2[[#This Row],[Category]])</f>
        <v>-350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-175</v>
      </c>
      <c r="D5" s="11">
        <f ca="1">SUMIFS(Operations[Amount],Operations[Bank],flow_2[[#This Row],[Bank]],Operations[Product],flow_2[[#This Row],[Product]],Operations[Month],$B$11)</f>
        <v>175</v>
      </c>
      <c r="E5" s="11">
        <f ca="1">flow_2[[#This Row],[Opening balance]]+flow_2[[#This Row],[Operations]]</f>
        <v>0</v>
      </c>
      <c r="G5" t="s">
        <v>15</v>
      </c>
      <c r="H5" s="11">
        <f ca="1">SUMIFS(Operations[Amount],Operations[Month],$B$11,Operations[Category],incomes_2[[#This Row],[Category]])</f>
        <v>1950</v>
      </c>
      <c r="J5" t="s">
        <v>9</v>
      </c>
      <c r="K5" s="11">
        <f ca="1">SUMIFS(Operations[Amount],Operations[Month],$B$11,Operations[Category],expenses_2[[#This Row],[Category]])</f>
        <v>-405.5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1600</v>
      </c>
      <c r="D6" s="11">
        <f ca="1">SUMIFS(Operations[Amount],Operations[Bank],flow_2[[#This Row],[Bank]],Operations[Product],flow_2[[#This Row],[Product]],Operations[Month],$B$11)</f>
        <v>-400</v>
      </c>
      <c r="E6" s="11">
        <f ca="1">flow_2[[#This Row],[Opening balance]]+flow_2[[#This Row],[Operations]]</f>
        <v>1200</v>
      </c>
      <c r="G6" t="s">
        <v>10</v>
      </c>
      <c r="H6" s="11">
        <f ca="1">SUMIFS(Operations[Amount],Operations[Month],$B$11,Operations[Category],incomes_2[[#This Row],[Category]])</f>
        <v>4500</v>
      </c>
      <c r="J6" t="s">
        <v>28</v>
      </c>
      <c r="K6" s="11">
        <f ca="1">SUMIFS(Operations[Amount],Operations[Month],$B$11,Operations[Category],expenses_2[[#This Row],[Category]])</f>
        <v>-250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150</v>
      </c>
      <c r="D7" s="11">
        <f ca="1">SUMIFS(Operations[Amount],Operations[Bank],flow_2[[#This Row],[Bank]],Operations[Product],flow_2[[#This Row],[Product]],Operations[Month],$B$11)</f>
        <v>100</v>
      </c>
      <c r="E7" s="11">
        <f ca="1">flow_2[[#This Row],[Opening balance]]+flow_2[[#This Row],[Operations]]</f>
        <v>250</v>
      </c>
      <c r="G7" t="s">
        <v>31</v>
      </c>
      <c r="H7" s="11">
        <f ca="1">SUMIFS(Operations[Amount],Operations[Month],$B$11,Operations[Category],incomes_2[[#This Row],[Category]])</f>
        <v>0</v>
      </c>
      <c r="J7" t="s">
        <v>14</v>
      </c>
      <c r="K7" s="11">
        <f ca="1">SUMIFS(Operations[Amount],Operations[Month],$B$11,Operations[Category],expenses_2[[#This Row],[Category]])</f>
        <v>-150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180</v>
      </c>
      <c r="D8" s="11">
        <f ca="1">SUMIFS(Operations[Amount],Operations[Bank],flow_2[[#This Row],[Bank]],Operations[Product],flow_2[[#This Row],[Product]],Operations[Month],$B$11)</f>
        <v>500</v>
      </c>
      <c r="E8" s="11">
        <f ca="1">flow_2[[#This Row],[Opening balance]]+flow_2[[#This Row],[Operations]]</f>
        <v>680</v>
      </c>
      <c r="G8" t="s">
        <v>37</v>
      </c>
      <c r="H8" s="12">
        <f ca="1">SUBTOTAL(109,incomes_2[Total])</f>
        <v>6565</v>
      </c>
      <c r="J8" t="s">
        <v>17</v>
      </c>
      <c r="K8" s="11">
        <f ca="1">SUMIFS(Operations[Amount],Operations[Month],$B$11,Operations[Category],expenses_2[[#This Row],[Category]])</f>
        <v>-765</v>
      </c>
    </row>
    <row r="9" spans="1:11" x14ac:dyDescent="0.25">
      <c r="A9" t="s">
        <v>37</v>
      </c>
      <c r="C9" s="11">
        <f ca="1">SUBTOTAL(109,flow_2[Opening balance])</f>
        <v>3786</v>
      </c>
      <c r="D9" s="11">
        <f ca="1">SUBTOTAL(109,flow_2[Operations])</f>
        <v>2464.5</v>
      </c>
      <c r="E9" s="11">
        <f ca="1">SUBTOTAL(109,flow_2[Closing balance])</f>
        <v>6250.5</v>
      </c>
      <c r="J9" t="s">
        <v>23</v>
      </c>
      <c r="K9" s="11">
        <f ca="1">SUMIFS(Operations[Amount],Operations[Month],$B$11,Operations[Category],expenses_2[[#This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SUMIFS(Operations[Amount],Operations[Month],$B$11,Operations[Category],expenses_2[[#This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2</v>
      </c>
      <c r="J11" t="s">
        <v>37</v>
      </c>
      <c r="K11" s="11">
        <f ca="1">SUBTOTAL(109,expenses_2[Total])</f>
        <v>-4100.5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11">
        <f ca="1">SUMIFS(Operations[Amount],Operations[Month],$B$11,Operations[Type],balance_2[[#This Row],[Type]])</f>
        <v>6565</v>
      </c>
    </row>
    <row r="16" spans="1:11" x14ac:dyDescent="0.25">
      <c r="A16" t="s">
        <v>29</v>
      </c>
      <c r="B16" s="11">
        <f ca="1">SUMIFS(Operations[Amount],Operations[Month],$B$11,Operations[Type],balance_2[[#This Row],[Type]])</f>
        <v>0</v>
      </c>
    </row>
    <row r="17" spans="1:2" x14ac:dyDescent="0.25">
      <c r="A17" t="s">
        <v>37</v>
      </c>
      <c r="B17" s="11">
        <f ca="1">SUBTOTAL(109,balance_2[Total])</f>
        <v>2464.5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54A9-CBA5-44A8-B254-4F0F60405863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100</v>
      </c>
      <c r="D2" s="11">
        <f ca="1">SUMIFS(Operations[Amount],Operations[Bank],flow_3[[#This Row],[Bank]],Operations[Product],flow_3[[#This Row],[Product]],Operations[Month],$B$11)</f>
        <v>67.5</v>
      </c>
      <c r="E2" s="11">
        <f ca="1">flow_3[[#This Row],[Opening balance]]+flow_3[[#This Row],[Operations]]</f>
        <v>167.5</v>
      </c>
      <c r="G2" t="s">
        <v>19</v>
      </c>
      <c r="H2" s="11">
        <f ca="1">SUMIFS(Operations[Amount],Operations[Month],$B$11,Operations[Category],incomes_3[[#This Row],[Category]])</f>
        <v>0</v>
      </c>
      <c r="J2" t="s">
        <v>11</v>
      </c>
      <c r="K2" s="11">
        <f ca="1">SUMIFS(Operations[Amount],Operations[Month],$B$11,Operations[Category],expenses_3[[#This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281</v>
      </c>
      <c r="D3" s="11">
        <f ca="1">SUMIFS(Operations[Amount],Operations[Bank],flow_3[[#This Row],[Bank]],Operations[Product],flow_3[[#This Row],[Product]],Operations[Month],$B$11)</f>
        <v>5</v>
      </c>
      <c r="E3" s="11">
        <f ca="1">flow_3[[#This Row],[Opening balance]]+flow_3[[#This Row],[Operations]]</f>
        <v>286</v>
      </c>
      <c r="G3" t="s">
        <v>27</v>
      </c>
      <c r="H3" s="11">
        <f ca="1">SUMIFS(Operations[Amount],Operations[Month],$B$11,Operations[Category],incomes_3[[#This Row],[Category]])</f>
        <v>150</v>
      </c>
      <c r="J3" t="s">
        <v>22</v>
      </c>
      <c r="K3" s="11">
        <f ca="1">SUMIFS(Operations[Amount],Operations[Month],$B$11,Operations[Category],expenses_3[[#This Row],[Category]])</f>
        <v>-469.9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3739.5</v>
      </c>
      <c r="D4" s="11">
        <f ca="1">SUMIFS(Operations[Amount],Operations[Bank],flow_3[[#This Row],[Bank]],Operations[Product],flow_3[[#This Row],[Product]],Operations[Month],$B$11)</f>
        <v>821.59999999999991</v>
      </c>
      <c r="E4" s="11">
        <f ca="1">flow_3[[#This Row],[Opening balance]]+flow_3[[#This Row],[Operations]]</f>
        <v>4561.1000000000004</v>
      </c>
      <c r="G4" t="s">
        <v>30</v>
      </c>
      <c r="H4" s="11">
        <f ca="1">SUMIFS(Operations[Amount],Operations[Month],$B$11,Operations[Category],incomes_3[[#This Row],[Category]])</f>
        <v>5</v>
      </c>
      <c r="J4" t="s">
        <v>20</v>
      </c>
      <c r="K4" s="11">
        <f ca="1">SUMIFS(Operations[Amount],Operations[Month],$B$11,Operations[Category],expenses_3[[#This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SUMIFS(Operations[Amount],Operations[Bank],flow_3[[#This Row],[Bank]],Operations[Product],flow_3[[#This Row],[Product]],Operations[Month],$B$11)</f>
        <v>-104.5</v>
      </c>
      <c r="E5" s="11">
        <f ca="1">flow_3[[#This Row],[Opening balance]]+flow_3[[#This Row],[Operations]]</f>
        <v>-104.5</v>
      </c>
      <c r="G5" t="s">
        <v>15</v>
      </c>
      <c r="H5" s="11">
        <f ca="1">SUMIFS(Operations[Amount],Operations[Month],$B$11,Operations[Category],incomes_3[[#This Row],[Category]])</f>
        <v>0</v>
      </c>
      <c r="J5" t="s">
        <v>9</v>
      </c>
      <c r="K5" s="11">
        <f ca="1">SUMIFS(Operations[Amount],Operations[Month],$B$11,Operations[Category],expenses_3[[#This Row],[Category]])</f>
        <v>-734.99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SUMIFS(Operations[Amount],Operations[Bank],flow_3[[#This Row],[Bank]],Operations[Product],flow_3[[#This Row],[Product]],Operations[Month],$B$11)</f>
        <v>0</v>
      </c>
      <c r="E6" s="11">
        <f ca="1">flow_3[[#This Row],[Opening balance]]+flow_3[[#This Row],[Operations]]</f>
        <v>1200</v>
      </c>
      <c r="G6" t="s">
        <v>10</v>
      </c>
      <c r="H6" s="11">
        <f ca="1">SUMIFS(Operations[Amount],Operations[Month],$B$11,Operations[Category],incomes_3[[#This Row],[Category]])</f>
        <v>4500</v>
      </c>
      <c r="J6" t="s">
        <v>28</v>
      </c>
      <c r="K6" s="11">
        <f ca="1">SUMIFS(Operations[Amount],Operations[Month],$B$11,Operations[Category],expenses_3[[#This Row],[Category]])</f>
        <v>-9.5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250</v>
      </c>
      <c r="D7" s="11">
        <f ca="1">SUMIFS(Operations[Amount],Operations[Bank],flow_3[[#This Row],[Bank]],Operations[Product],flow_3[[#This Row],[Product]],Operations[Month],$B$11)</f>
        <v>-24.49</v>
      </c>
      <c r="E7" s="11">
        <f ca="1">flow_3[[#This Row],[Opening balance]]+flow_3[[#This Row],[Operations]]</f>
        <v>225.51</v>
      </c>
      <c r="G7" t="s">
        <v>31</v>
      </c>
      <c r="H7" s="11">
        <f ca="1">SUMIFS(Operations[Amount],Operations[Month],$B$11,Operations[Category],incomes_3[[#This Row],[Category]])</f>
        <v>0</v>
      </c>
      <c r="J7" t="s">
        <v>14</v>
      </c>
      <c r="K7" s="11">
        <f ca="1">SUMIFS(Operations[Amount],Operations[Month],$B$11,Operations[Category],expenses_3[[#This Row],[Category]])</f>
        <v>-23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680</v>
      </c>
      <c r="D8" s="11">
        <f ca="1">SUMIFS(Operations[Amount],Operations[Bank],flow_3[[#This Row],[Bank]],Operations[Product],flow_3[[#This Row],[Product]],Operations[Month],$B$11)</f>
        <v>-9.5</v>
      </c>
      <c r="E8" s="11">
        <f ca="1">flow_3[[#This Row],[Opening balance]]+flow_3[[#This Row],[Operations]]</f>
        <v>670.5</v>
      </c>
      <c r="G8" t="s">
        <v>37</v>
      </c>
      <c r="H8" s="12">
        <f ca="1">SUBTOTAL(109,incomes_3[Total])</f>
        <v>4655</v>
      </c>
      <c r="J8" t="s">
        <v>17</v>
      </c>
      <c r="K8" s="11">
        <f ca="1">SUMIFS(Operations[Amount],Operations[Month],$B$11,Operations[Category],expenses_3[[#This Row],[Category]])</f>
        <v>-300</v>
      </c>
    </row>
    <row r="9" spans="1:11" x14ac:dyDescent="0.25">
      <c r="A9" t="s">
        <v>37</v>
      </c>
      <c r="C9" s="11">
        <f ca="1">SUBTOTAL(109,flow_3[Opening balance])</f>
        <v>6250.5</v>
      </c>
      <c r="D9" s="11">
        <f ca="1">SUBTOTAL(109,flow_3[Operations])</f>
        <v>755.6099999999999</v>
      </c>
      <c r="E9" s="11">
        <f ca="1">SUBTOTAL(109,flow_3[Closing balance])</f>
        <v>7006.1100000000006</v>
      </c>
      <c r="J9" t="s">
        <v>23</v>
      </c>
      <c r="K9" s="11">
        <f ca="1">SUMIFS(Operations[Amount],Operations[Month],$B$11,Operations[Category],expenses_3[[#This Row],[Category]])</f>
        <v>-79.5</v>
      </c>
    </row>
    <row r="10" spans="1:11" x14ac:dyDescent="0.25">
      <c r="J10" t="s">
        <v>21</v>
      </c>
      <c r="K10" s="11">
        <f ca="1">SUMIFS(Operations[Amount],Operations[Month],$B$11,Operations[Category],expenses_3[[#This Row],[Category]])</f>
        <v>-82.5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3</v>
      </c>
      <c r="J11" t="s">
        <v>37</v>
      </c>
      <c r="K11" s="11">
        <f ca="1">SUBTOTAL(109,expenses_3[Total])</f>
        <v>-3899.3900000000003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11">
        <f ca="1">SUMIFS(Operations[Amount],Operations[Month],$B$11,Operations[Type],balance_3[[#This Row],[Type]])</f>
        <v>4655</v>
      </c>
    </row>
    <row r="16" spans="1:11" x14ac:dyDescent="0.25">
      <c r="A16" t="s">
        <v>29</v>
      </c>
      <c r="B16" s="11">
        <f ca="1">SUMIFS(Operations[Amount],Operations[Month],$B$11,Operations[Type],balance_3[[#This Row],[Type]])</f>
        <v>0</v>
      </c>
    </row>
    <row r="17" spans="1:2" x14ac:dyDescent="0.25">
      <c r="A17" t="s">
        <v>37</v>
      </c>
      <c r="B17" s="11">
        <f ca="1">SUBTOTAL(109,balance_3[Total])</f>
        <v>755.61000000000013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D832-450A-4AD1-A813-AE26A2E7DBB0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167.5</v>
      </c>
      <c r="D2" s="11">
        <f ca="1">SUMIFS(Operations[Amount],Operations[Bank],flow_4[[#This Row],[Bank]],Operations[Product],flow_4[[#This Row],[Product]],Operations[Month],$B$11)</f>
        <v>101</v>
      </c>
      <c r="E2" s="11">
        <f ca="1">flow_4[[#This Row],[Opening balance]]+flow_4[[#This Row],[Operations]]</f>
        <v>268.5</v>
      </c>
      <c r="G2" t="s">
        <v>19</v>
      </c>
      <c r="H2" s="11">
        <f ca="1">SUMIFS(Operations[Amount],Operations[Month],$B$11,Operations[Category],incomes_4[[#This Row],[Category]])</f>
        <v>0</v>
      </c>
      <c r="J2" t="s">
        <v>11</v>
      </c>
      <c r="K2" s="11">
        <f ca="1">SUMIFS(Operations[Amount],Operations[Month],$B$11,Operations[Category],expenses_4[[#This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286</v>
      </c>
      <c r="D3" s="11">
        <f ca="1">SUMIFS(Operations[Amount],Operations[Bank],flow_4[[#This Row],[Bank]],Operations[Product],flow_4[[#This Row],[Product]],Operations[Month],$B$11)</f>
        <v>50</v>
      </c>
      <c r="E3" s="11">
        <f ca="1">flow_4[[#This Row],[Opening balance]]+flow_4[[#This Row],[Operations]]</f>
        <v>336</v>
      </c>
      <c r="G3" t="s">
        <v>27</v>
      </c>
      <c r="H3" s="11">
        <f ca="1">SUMIFS(Operations[Amount],Operations[Month],$B$11,Operations[Category],incomes_4[[#This Row],[Category]])</f>
        <v>150</v>
      </c>
      <c r="J3" t="s">
        <v>22</v>
      </c>
      <c r="K3" s="11">
        <f ca="1">SUMIFS(Operations[Amount],Operations[Month],$B$11,Operations[Category],expenses_4[[#This Row],[Category]])</f>
        <v>-149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4561.1000000000004</v>
      </c>
      <c r="D4" s="11">
        <f ca="1">SUMIFS(Operations[Amount],Operations[Bank],flow_4[[#This Row],[Bank]],Operations[Product],flow_4[[#This Row],[Product]],Operations[Month],$B$11)</f>
        <v>562.72999999999968</v>
      </c>
      <c r="E4" s="11">
        <f ca="1">flow_4[[#This Row],[Opening balance]]+flow_4[[#This Row],[Operations]]</f>
        <v>5123.83</v>
      </c>
      <c r="G4" t="s">
        <v>30</v>
      </c>
      <c r="H4" s="11">
        <f ca="1">SUMIFS(Operations[Amount],Operations[Month],$B$11,Operations[Category],incomes_4[[#This Row],[Category]])</f>
        <v>50</v>
      </c>
      <c r="J4" t="s">
        <v>20</v>
      </c>
      <c r="K4" s="11">
        <f ca="1">SUMIFS(Operations[Amount],Operations[Month],$B$11,Operations[Category],expenses_4[[#This Row],[Category]])</f>
        <v>-1057.9000000000001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-104.5</v>
      </c>
      <c r="D5" s="11">
        <f ca="1">SUMIFS(Operations[Amount],Operations[Bank],flow_4[[#This Row],[Bank]],Operations[Product],flow_4[[#This Row],[Product]],Operations[Month],$B$11)</f>
        <v>13.110000000000007</v>
      </c>
      <c r="E5" s="11">
        <f ca="1">flow_4[[#This Row],[Opening balance]]+flow_4[[#This Row],[Operations]]</f>
        <v>-91.389999999999986</v>
      </c>
      <c r="G5" t="s">
        <v>15</v>
      </c>
      <c r="H5" s="11">
        <f ca="1">SUMIFS(Operations[Amount],Operations[Month],$B$11,Operations[Category],incomes_4[[#This Row],[Category]])</f>
        <v>0</v>
      </c>
      <c r="J5" t="s">
        <v>9</v>
      </c>
      <c r="K5" s="11">
        <f ca="1">SUMIFS(Operations[Amount],Operations[Month],$B$11,Operations[Category],expenses_4[[#This Row],[Category]])</f>
        <v>-372.26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SUMIFS(Operations[Amount],Operations[Bank],flow_4[[#This Row],[Bank]],Operations[Product],flow_4[[#This Row],[Product]],Operations[Month],$B$11)</f>
        <v>0</v>
      </c>
      <c r="E6" s="11">
        <f ca="1">flow_4[[#This Row],[Opening balance]]+flow_4[[#This Row],[Operations]]</f>
        <v>1200</v>
      </c>
      <c r="G6" t="s">
        <v>10</v>
      </c>
      <c r="H6" s="11">
        <f ca="1">SUMIFS(Operations[Amount],Operations[Month],$B$11,Operations[Category],incomes_4[[#This Row],[Category]])</f>
        <v>4500</v>
      </c>
      <c r="J6" t="s">
        <v>28</v>
      </c>
      <c r="K6" s="11">
        <f ca="1">SUMIFS(Operations[Amount],Operations[Month],$B$11,Operations[Category],expenses_4[[#This Row],[Category]])</f>
        <v>-23.5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SUMIFS(Operations[Amount],Operations[Bank],flow_4[[#This Row],[Bank]],Operations[Product],flow_4[[#This Row],[Product]],Operations[Month],$B$11)</f>
        <v>0</v>
      </c>
      <c r="E7" s="11">
        <f ca="1">flow_4[[#This Row],[Opening balance]]+flow_4[[#This Row],[Operations]]</f>
        <v>225.51</v>
      </c>
      <c r="G7" t="s">
        <v>31</v>
      </c>
      <c r="H7" s="11">
        <f ca="1">SUMIFS(Operations[Amount],Operations[Month],$B$11,Operations[Category],incomes_4[[#This Row],[Category]])</f>
        <v>0</v>
      </c>
      <c r="J7" t="s">
        <v>14</v>
      </c>
      <c r="K7" s="11">
        <f ca="1">SUMIFS(Operations[Amount],Operations[Month],$B$11,Operations[Category],expenses_4[[#This Row],[Category]])</f>
        <v>-49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SUMIFS(Operations[Amount],Operations[Bank],flow_4[[#This Row],[Bank]],Operations[Product],flow_4[[#This Row],[Product]],Operations[Month],$B$11)</f>
        <v>0</v>
      </c>
      <c r="E8" s="11">
        <f ca="1">flow_4[[#This Row],[Opening balance]]+flow_4[[#This Row],[Operations]]</f>
        <v>670.5</v>
      </c>
      <c r="G8" t="s">
        <v>37</v>
      </c>
      <c r="H8" s="12">
        <f ca="1">SUBTOTAL(109,incomes_4[Total])</f>
        <v>4700</v>
      </c>
      <c r="J8" t="s">
        <v>17</v>
      </c>
      <c r="K8" s="11">
        <f ca="1">SUMIFS(Operations[Amount],Operations[Month],$B$11,Operations[Category],expenses_4[[#This Row],[Category]])</f>
        <v>-100</v>
      </c>
    </row>
    <row r="9" spans="1:11" x14ac:dyDescent="0.25">
      <c r="A9" t="s">
        <v>37</v>
      </c>
      <c r="C9" s="11">
        <f ca="1">SUBTOTAL(109,flow_4[Opening balance])</f>
        <v>7006.1100000000006</v>
      </c>
      <c r="D9" s="11">
        <f ca="1">SUBTOTAL(109,flow_4[Operations])</f>
        <v>726.83999999999969</v>
      </c>
      <c r="E9" s="11">
        <f ca="1">SUBTOTAL(109,flow_4[Closing balance])</f>
        <v>7732.95</v>
      </c>
      <c r="J9" t="s">
        <v>23</v>
      </c>
      <c r="K9" s="11">
        <f ca="1">SUMIFS(Operations[Amount],Operations[Month],$B$11,Operations[Category],expenses_4[[#This Row],[Category]])</f>
        <v>-139</v>
      </c>
    </row>
    <row r="10" spans="1:11" x14ac:dyDescent="0.25">
      <c r="J10" t="s">
        <v>21</v>
      </c>
      <c r="K10" s="11">
        <f ca="1">SUMIFS(Operations[Amount],Operations[Month],$B$11,Operations[Category],expenses_4[[#This Row],[Category]])</f>
        <v>-82.5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4</v>
      </c>
      <c r="J11" t="s">
        <v>37</v>
      </c>
      <c r="K11" s="11">
        <f ca="1">SUBTOTAL(109,expenses_4[Total])</f>
        <v>-3973.16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11">
        <f ca="1">SUMIFS(Operations[Amount],Operations[Month],$B$11,Operations[Type],balance_4[[#This Row],[Type]])</f>
        <v>4700</v>
      </c>
    </row>
    <row r="16" spans="1:11" x14ac:dyDescent="0.25">
      <c r="A16" t="s">
        <v>29</v>
      </c>
      <c r="B16" s="11">
        <f ca="1">SUMIFS(Operations[Amount],Operations[Month],$B$11,Operations[Type],balance_4[[#This Row],[Type]])</f>
        <v>0</v>
      </c>
    </row>
    <row r="17" spans="1:2" x14ac:dyDescent="0.25">
      <c r="A17" t="s">
        <v>37</v>
      </c>
      <c r="B17" s="11">
        <f ca="1">SUBTOTAL(109,balance_4[Total])</f>
        <v>726.84000000000015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60FB-E3A7-41E0-859D-8C584A8EE328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268.5</v>
      </c>
      <c r="D2" s="11">
        <f ca="1">SUMIFS(Operations[Amount],Operations[Bank],flow_5[[#This Row],[Bank]],Operations[Product],flow_5[[#This Row],[Product]],Operations[Month],$B$11)</f>
        <v>-50</v>
      </c>
      <c r="E2" s="11">
        <f ca="1">flow_5[[#This Row],[Opening balance]]+flow_5[[#This Row],[Operations]]</f>
        <v>218.5</v>
      </c>
      <c r="G2" t="s">
        <v>19</v>
      </c>
      <c r="H2" s="11">
        <f ca="1">SUMIFS(Operations[Amount],Operations[Month],$B$11,Operations[Category],incomes_5[[#This Row],[Category]])</f>
        <v>0</v>
      </c>
      <c r="J2" t="s">
        <v>11</v>
      </c>
      <c r="K2" s="11">
        <f ca="1">SUMIFS(Operations[Amount],Operations[Month],$B$11,Operations[Category],expenses_5[[#This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SUMIFS(Operations[Amount],Operations[Bank],flow_5[[#This Row],[Bank]],Operations[Product],flow_5[[#This Row],[Product]],Operations[Month],$B$11)</f>
        <v>0</v>
      </c>
      <c r="E3" s="11">
        <f ca="1">flow_5[[#This Row],[Opening balance]]+flow_5[[#This Row],[Operations]]</f>
        <v>336</v>
      </c>
      <c r="G3" t="s">
        <v>27</v>
      </c>
      <c r="H3" s="11">
        <f ca="1">SUMIFS(Operations[Amount],Operations[Month],$B$11,Operations[Category],incomes_5[[#This Row],[Category]])</f>
        <v>0</v>
      </c>
      <c r="J3" t="s">
        <v>22</v>
      </c>
      <c r="K3" s="11">
        <f ca="1">SUMIFS(Operations[Amount],Operations[Month],$B$11,Operations[Category],expenses_5[[#This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5123.83</v>
      </c>
      <c r="D4" s="11">
        <f ca="1">SUMIFS(Operations[Amount],Operations[Bank],flow_5[[#This Row],[Bank]],Operations[Product],flow_5[[#This Row],[Product]],Operations[Month],$B$11)</f>
        <v>2328.61</v>
      </c>
      <c r="E4" s="11">
        <f ca="1">flow_5[[#This Row],[Opening balance]]+flow_5[[#This Row],[Operations]]</f>
        <v>7452.4400000000005</v>
      </c>
      <c r="G4" t="s">
        <v>30</v>
      </c>
      <c r="H4" s="11">
        <f ca="1">SUMIFS(Operations[Amount],Operations[Month],$B$11,Operations[Category],incomes_5[[#This Row],[Category]])</f>
        <v>0</v>
      </c>
      <c r="J4" t="s">
        <v>20</v>
      </c>
      <c r="K4" s="11">
        <f ca="1">SUMIFS(Operations[Amount],Operations[Month],$B$11,Operations[Category],expenses_5[[#This Row],[Category]])</f>
        <v>-80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-91.389999999999986</v>
      </c>
      <c r="D5" s="11">
        <f ca="1">SUMIFS(Operations[Amount],Operations[Bank],flow_5[[#This Row],[Bank]],Operations[Product],flow_5[[#This Row],[Product]],Operations[Month],$B$11)</f>
        <v>-908.61</v>
      </c>
      <c r="E5" s="11">
        <f ca="1">flow_5[[#This Row],[Opening balance]]+flow_5[[#This Row],[Operations]]</f>
        <v>-1000</v>
      </c>
      <c r="G5" t="s">
        <v>15</v>
      </c>
      <c r="H5" s="11">
        <f ca="1">SUMIFS(Operations[Amount],Operations[Month],$B$11,Operations[Category],incomes_5[[#This Row],[Category]])</f>
        <v>0</v>
      </c>
      <c r="J5" t="s">
        <v>9</v>
      </c>
      <c r="K5" s="11">
        <f ca="1">SUMIFS(Operations[Amount],Operations[Month],$B$11,Operations[Category],expenses_5[[#This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SUMIFS(Operations[Amount],Operations[Bank],flow_5[[#This Row],[Bank]],Operations[Product],flow_5[[#This Row],[Product]],Operations[Month],$B$11)</f>
        <v>0</v>
      </c>
      <c r="E6" s="11">
        <f ca="1">flow_5[[#This Row],[Opening balance]]+flow_5[[#This Row],[Operations]]</f>
        <v>1200</v>
      </c>
      <c r="G6" t="s">
        <v>10</v>
      </c>
      <c r="H6" s="11">
        <f ca="1">SUMIFS(Operations[Amount],Operations[Month],$B$11,Operations[Category],incomes_5[[#This Row],[Category]])</f>
        <v>4500</v>
      </c>
      <c r="J6" t="s">
        <v>28</v>
      </c>
      <c r="K6" s="11">
        <f ca="1">SUMIFS(Operations[Amount],Operations[Month],$B$11,Operations[Category],expenses_5[[#This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SUMIFS(Operations[Amount],Operations[Bank],flow_5[[#This Row],[Bank]],Operations[Product],flow_5[[#This Row],[Product]],Operations[Month],$B$11)</f>
        <v>0</v>
      </c>
      <c r="E7" s="11">
        <f ca="1">flow_5[[#This Row],[Opening balance]]+flow_5[[#This Row],[Operations]]</f>
        <v>225.51</v>
      </c>
      <c r="G7" t="s">
        <v>31</v>
      </c>
      <c r="H7" s="11">
        <f ca="1">SUMIFS(Operations[Amount],Operations[Month],$B$11,Operations[Category],incomes_5[[#This Row],[Category]])</f>
        <v>0</v>
      </c>
      <c r="J7" t="s">
        <v>14</v>
      </c>
      <c r="K7" s="11">
        <f ca="1">SUMIFS(Operations[Amount],Operations[Month],$B$11,Operations[Category],expenses_5[[#This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SUMIFS(Operations[Amount],Operations[Bank],flow_5[[#This Row],[Bank]],Operations[Product],flow_5[[#This Row],[Product]],Operations[Month],$B$11)</f>
        <v>-80</v>
      </c>
      <c r="E8" s="11">
        <f ca="1">flow_5[[#This Row],[Opening balance]]+flow_5[[#This Row],[Operations]]</f>
        <v>590.5</v>
      </c>
      <c r="G8" t="s">
        <v>37</v>
      </c>
      <c r="H8" s="12">
        <f ca="1">SUBTOTAL(109,incomes_5[Total])</f>
        <v>4500</v>
      </c>
      <c r="J8" t="s">
        <v>17</v>
      </c>
      <c r="K8" s="11">
        <f ca="1">SUMIFS(Operations[Amount],Operations[Month],$B$11,Operations[Category],expenses_5[[#This Row],[Category]])</f>
        <v>0</v>
      </c>
    </row>
    <row r="9" spans="1:11" x14ac:dyDescent="0.25">
      <c r="A9" t="s">
        <v>37</v>
      </c>
      <c r="C9" s="11">
        <f ca="1">SUBTOTAL(109,flow_5[Opening balance])</f>
        <v>7732.95</v>
      </c>
      <c r="D9" s="11">
        <f ca="1">SUBTOTAL(109,flow_5[Operations])</f>
        <v>1290</v>
      </c>
      <c r="E9" s="11">
        <f ca="1">SUBTOTAL(109,flow_5[Closing balance])</f>
        <v>9022.9500000000007</v>
      </c>
      <c r="J9" t="s">
        <v>23</v>
      </c>
      <c r="K9" s="11">
        <f ca="1">SUMIFS(Operations[Amount],Operations[Month],$B$11,Operations[Category],expenses_5[[#This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SUMIFS(Operations[Amount],Operations[Month],$B$11,Operations[Category],expenses_5[[#This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5</v>
      </c>
      <c r="J11" t="s">
        <v>37</v>
      </c>
      <c r="K11" s="11">
        <f ca="1">SUBTOTAL(109,expenses_5[Total])</f>
        <v>-3210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11">
        <f ca="1">SUMIFS(Operations[Amount],Operations[Month],$B$11,Operations[Type],balance_5[[#This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SUMIFS(Operations[Amount],Operations[Month],$B$11,Operations[Type],balance_5[[#This Row],[Type]])</f>
        <v>0</v>
      </c>
    </row>
    <row r="17" spans="1:2" x14ac:dyDescent="0.25">
      <c r="A17" t="s">
        <v>37</v>
      </c>
      <c r="B17" s="11">
        <f ca="1">SUBTOTAL(109,balance_5[Total])</f>
        <v>1290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45BC-BCB4-4EBA-874E-0D205385CF10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218.5</v>
      </c>
      <c r="D2" s="11">
        <f ca="1">SUMIFS(Operations[Amount],Operations[Bank],flow_6[[#This Row],[Bank]],Operations[Product],flow_6[[#This Row],[Product]],Operations[Month],$B$11)</f>
        <v>250</v>
      </c>
      <c r="E2" s="11">
        <f ca="1">flow_6[[#This Row],[Opening balance]]+flow_6[[#This Row],[Operations]]</f>
        <v>468.5</v>
      </c>
      <c r="G2" t="s">
        <v>19</v>
      </c>
      <c r="H2" s="11">
        <f ca="1">SUMIFS(Operations[Amount],Operations[Month],$B$11,Operations[Category],incomes_6[[#This Row],[Category]])</f>
        <v>400</v>
      </c>
      <c r="J2" t="s">
        <v>11</v>
      </c>
      <c r="K2" s="11">
        <f ca="1">SUMIFS(Operations[Amount],Operations[Month],$B$11,Operations[Category],expenses_6[[#This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SUMIFS(Operations[Amount],Operations[Bank],flow_6[[#This Row],[Bank]],Operations[Product],flow_6[[#This Row],[Product]],Operations[Month],$B$11)</f>
        <v>0</v>
      </c>
      <c r="E3" s="11">
        <f ca="1">flow_6[[#This Row],[Opening balance]]+flow_6[[#This Row],[Operations]]</f>
        <v>336</v>
      </c>
      <c r="G3" t="s">
        <v>27</v>
      </c>
      <c r="H3" s="11">
        <f ca="1">SUMIFS(Operations[Amount],Operations[Month],$B$11,Operations[Category],incomes_6[[#This Row],[Category]])</f>
        <v>0</v>
      </c>
      <c r="J3" t="s">
        <v>22</v>
      </c>
      <c r="K3" s="11">
        <f ca="1">SUMIFS(Operations[Amount],Operations[Month],$B$11,Operations[Category],expenses_6[[#This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7452.4400000000005</v>
      </c>
      <c r="D4" s="11">
        <f ca="1">SUMIFS(Operations[Amount],Operations[Bank],flow_6[[#This Row],[Bank]],Operations[Product],flow_6[[#This Row],[Product]],Operations[Month],$B$11)</f>
        <v>1420</v>
      </c>
      <c r="E4" s="11">
        <f ca="1">flow_6[[#This Row],[Opening balance]]+flow_6[[#This Row],[Operations]]</f>
        <v>8872.44</v>
      </c>
      <c r="G4" t="s">
        <v>30</v>
      </c>
      <c r="H4" s="11">
        <f ca="1">SUMIFS(Operations[Amount],Operations[Month],$B$11,Operations[Category],incomes_6[[#This Row],[Category]])</f>
        <v>0</v>
      </c>
      <c r="J4" t="s">
        <v>20</v>
      </c>
      <c r="K4" s="11">
        <f ca="1">SUMIFS(Operations[Amount],Operations[Month],$B$11,Operations[Category],expenses_6[[#This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-1000</v>
      </c>
      <c r="D5" s="11">
        <f ca="1">SUMIFS(Operations[Amount],Operations[Bank],flow_6[[#This Row],[Bank]],Operations[Product],flow_6[[#This Row],[Product]],Operations[Month],$B$11)</f>
        <v>-300</v>
      </c>
      <c r="E5" s="11">
        <f ca="1">flow_6[[#This Row],[Opening balance]]+flow_6[[#This Row],[Operations]]</f>
        <v>-1300</v>
      </c>
      <c r="G5" t="s">
        <v>15</v>
      </c>
      <c r="H5" s="11">
        <f ca="1">SUMIFS(Operations[Amount],Operations[Month],$B$11,Operations[Category],incomes_6[[#This Row],[Category]])</f>
        <v>0</v>
      </c>
      <c r="J5" t="s">
        <v>9</v>
      </c>
      <c r="K5" s="11">
        <f ca="1">SUMIFS(Operations[Amount],Operations[Month],$B$11,Operations[Category],expenses_6[[#This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SUMIFS(Operations[Amount],Operations[Bank],flow_6[[#This Row],[Bank]],Operations[Product],flow_6[[#This Row],[Product]],Operations[Month],$B$11)</f>
        <v>0</v>
      </c>
      <c r="E6" s="11">
        <f ca="1">flow_6[[#This Row],[Opening balance]]+flow_6[[#This Row],[Operations]]</f>
        <v>1200</v>
      </c>
      <c r="G6" t="s">
        <v>10</v>
      </c>
      <c r="H6" s="11">
        <f ca="1">SUMIFS(Operations[Amount],Operations[Month],$B$11,Operations[Category],incomes_6[[#This Row],[Category]])</f>
        <v>4500</v>
      </c>
      <c r="J6" t="s">
        <v>28</v>
      </c>
      <c r="K6" s="11">
        <f ca="1">SUMIFS(Operations[Amount],Operations[Month],$B$11,Operations[Category],expenses_6[[#This Row],[Category]])</f>
        <v>-100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SUMIFS(Operations[Amount],Operations[Bank],flow_6[[#This Row],[Bank]],Operations[Product],flow_6[[#This Row],[Product]],Operations[Month],$B$11)</f>
        <v>0</v>
      </c>
      <c r="E7" s="11">
        <f ca="1">flow_6[[#This Row],[Opening balance]]+flow_6[[#This Row],[Operations]]</f>
        <v>225.51</v>
      </c>
      <c r="G7" t="s">
        <v>31</v>
      </c>
      <c r="H7" s="11">
        <f ca="1">SUMIFS(Operations[Amount],Operations[Month],$B$11,Operations[Category],incomes_6[[#This Row],[Category]])</f>
        <v>0</v>
      </c>
      <c r="J7" t="s">
        <v>14</v>
      </c>
      <c r="K7" s="11">
        <f ca="1">SUMIFS(Operations[Amount],Operations[Month],$B$11,Operations[Category],expenses_6[[#This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590.5</v>
      </c>
      <c r="D8" s="11">
        <f ca="1">SUMIFS(Operations[Amount],Operations[Bank],flow_6[[#This Row],[Bank]],Operations[Product],flow_6[[#This Row],[Product]],Operations[Month],$B$11)</f>
        <v>-200</v>
      </c>
      <c r="E8" s="11">
        <f ca="1">flow_6[[#This Row],[Opening balance]]+flow_6[[#This Row],[Operations]]</f>
        <v>390.5</v>
      </c>
      <c r="G8" t="s">
        <v>37</v>
      </c>
      <c r="H8" s="12">
        <f ca="1">SUBTOTAL(109,incomes_6[Total])</f>
        <v>4900</v>
      </c>
      <c r="J8" t="s">
        <v>17</v>
      </c>
      <c r="K8" s="11">
        <f ca="1">SUMIFS(Operations[Amount],Operations[Month],$B$11,Operations[Category],expenses_6[[#This Row],[Category]])</f>
        <v>0</v>
      </c>
    </row>
    <row r="9" spans="1:11" x14ac:dyDescent="0.25">
      <c r="A9" t="s">
        <v>37</v>
      </c>
      <c r="C9" s="11">
        <f ca="1">SUBTOTAL(109,flow_6[Opening balance])</f>
        <v>9022.9500000000007</v>
      </c>
      <c r="D9" s="11">
        <f ca="1">SUBTOTAL(109,flow_6[Operations])</f>
        <v>1170</v>
      </c>
      <c r="E9" s="11">
        <f ca="1">SUBTOTAL(109,flow_6[Closing balance])</f>
        <v>10192.950000000001</v>
      </c>
      <c r="J9" t="s">
        <v>23</v>
      </c>
      <c r="K9" s="11">
        <f ca="1">SUMIFS(Operations[Amount],Operations[Month],$B$11,Operations[Category],expenses_6[[#This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SUMIFS(Operations[Amount],Operations[Month],$B$11,Operations[Category],expenses_6[[#This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6</v>
      </c>
      <c r="J11" t="s">
        <v>37</v>
      </c>
      <c r="K11" s="11">
        <f ca="1">SUBTOTAL(109,expenses_6[Total])</f>
        <v>-3730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11">
        <f ca="1">SUMIFS(Operations[Amount],Operations[Month],$B$11,Operations[Type],balance_6[[#This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SUMIFS(Operations[Amount],Operations[Month],$B$11,Operations[Type],balance_6[[#This Row],[Type]])</f>
        <v>0</v>
      </c>
    </row>
    <row r="17" spans="1:2" x14ac:dyDescent="0.25">
      <c r="A17" t="s">
        <v>37</v>
      </c>
      <c r="B17" s="11">
        <f ca="1">SUBTOTAL(109,balance_6[Total])</f>
        <v>1170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BCAB-9923-4132-9CD0-83E22CA3E4EF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468.5</v>
      </c>
      <c r="D2" s="11">
        <f ca="1">SUMIFS(Operations[Amount],Operations[Bank],flow_7[[#This Row],[Bank]],Operations[Product],flow_7[[#This Row],[Product]],Operations[Month],$B$11)</f>
        <v>-100</v>
      </c>
      <c r="E2" s="11">
        <f ca="1">flow_7[[#This Row],[Opening balance]]+flow_7[[#This Row],[Operations]]</f>
        <v>368.5</v>
      </c>
      <c r="G2" t="s">
        <v>19</v>
      </c>
      <c r="H2" s="11">
        <f ca="1">SUMIFS(Operations[Amount],Operations[Month],$B$11,Operations[Category],incomes_7[[#This Row],[Category]])</f>
        <v>0</v>
      </c>
      <c r="J2" t="s">
        <v>11</v>
      </c>
      <c r="K2" s="11">
        <f ca="1">SUMIFS(Operations[Amount],Operations[Month],$B$11,Operations[Category],expenses_7[[#This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SUMIFS(Operations[Amount],Operations[Bank],flow_7[[#This Row],[Bank]],Operations[Product],flow_7[[#This Row],[Product]],Operations[Month],$B$11)</f>
        <v>1050</v>
      </c>
      <c r="E3" s="11">
        <f ca="1">flow_7[[#This Row],[Opening balance]]+flow_7[[#This Row],[Operations]]</f>
        <v>1386</v>
      </c>
      <c r="G3" t="s">
        <v>27</v>
      </c>
      <c r="H3" s="11">
        <f ca="1">SUMIFS(Operations[Amount],Operations[Month],$B$11,Operations[Category],incomes_7[[#This Row],[Category]])</f>
        <v>120</v>
      </c>
      <c r="J3" t="s">
        <v>22</v>
      </c>
      <c r="K3" s="11">
        <f ca="1">SUMIFS(Operations[Amount],Operations[Month],$B$11,Operations[Category],expenses_7[[#This Row],[Category]])</f>
        <v>250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8872.44</v>
      </c>
      <c r="D4" s="11">
        <f ca="1">SUMIFS(Operations[Amount],Operations[Bank],flow_7[[#This Row],[Bank]],Operations[Product],flow_7[[#This Row],[Product]],Operations[Month],$B$11)</f>
        <v>1010</v>
      </c>
      <c r="E4" s="11">
        <f ca="1">flow_7[[#This Row],[Opening balance]]+flow_7[[#This Row],[Operations]]</f>
        <v>9882.44</v>
      </c>
      <c r="G4" t="s">
        <v>30</v>
      </c>
      <c r="H4" s="11">
        <f ca="1">SUMIFS(Operations[Amount],Operations[Month],$B$11,Operations[Category],incomes_7[[#This Row],[Category]])</f>
        <v>800</v>
      </c>
      <c r="J4" t="s">
        <v>20</v>
      </c>
      <c r="K4" s="11">
        <f ca="1">SUMIFS(Operations[Amount],Operations[Month],$B$11,Operations[Category],expenses_7[[#This Row],[Category]])</f>
        <v>-700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-1300</v>
      </c>
      <c r="D5" s="11">
        <f ca="1">SUMIFS(Operations[Amount],Operations[Bank],flow_7[[#This Row],[Bank]],Operations[Product],flow_7[[#This Row],[Product]],Operations[Month],$B$11)</f>
        <v>1165</v>
      </c>
      <c r="E5" s="11">
        <f ca="1">flow_7[[#This Row],[Opening balance]]+flow_7[[#This Row],[Operations]]</f>
        <v>-135</v>
      </c>
      <c r="G5" t="s">
        <v>15</v>
      </c>
      <c r="H5" s="11">
        <f ca="1">SUMIFS(Operations[Amount],Operations[Month],$B$11,Operations[Category],incomes_7[[#This Row],[Category]])</f>
        <v>0</v>
      </c>
      <c r="J5" t="s">
        <v>9</v>
      </c>
      <c r="K5" s="11">
        <f ca="1">SUMIFS(Operations[Amount],Operations[Month],$B$11,Operations[Category],expenses_7[[#This Row],[Category]])</f>
        <v>-165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SUMIFS(Operations[Amount],Operations[Bank],flow_7[[#This Row],[Bank]],Operations[Product],flow_7[[#This Row],[Product]],Operations[Month],$B$11)</f>
        <v>-180</v>
      </c>
      <c r="E6" s="11">
        <f ca="1">flow_7[[#This Row],[Opening balance]]+flow_7[[#This Row],[Operations]]</f>
        <v>1020</v>
      </c>
      <c r="G6" t="s">
        <v>10</v>
      </c>
      <c r="H6" s="11">
        <f ca="1">SUMIFS(Operations[Amount],Operations[Month],$B$11,Operations[Category],incomes_7[[#This Row],[Category]])</f>
        <v>4500</v>
      </c>
      <c r="J6" t="s">
        <v>28</v>
      </c>
      <c r="K6" s="11">
        <f ca="1">SUMIFS(Operations[Amount],Operations[Month],$B$11,Operations[Category],expenses_7[[#This Row],[Category]])</f>
        <v>-300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SUMIFS(Operations[Amount],Operations[Bank],flow_7[[#This Row],[Bank]],Operations[Product],flow_7[[#This Row],[Product]],Operations[Month],$B$11)</f>
        <v>-30</v>
      </c>
      <c r="E7" s="11">
        <f ca="1">flow_7[[#This Row],[Opening balance]]+flow_7[[#This Row],[Operations]]</f>
        <v>195.51</v>
      </c>
      <c r="G7" t="s">
        <v>31</v>
      </c>
      <c r="H7" s="11">
        <f ca="1">SUMIFS(Operations[Amount],Operations[Month],$B$11,Operations[Category],incomes_7[[#This Row],[Category]])</f>
        <v>500</v>
      </c>
      <c r="J7" t="s">
        <v>14</v>
      </c>
      <c r="K7" s="11">
        <f ca="1">SUMIFS(Operations[Amount],Operations[Month],$B$11,Operations[Category],expenses_7[[#This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SUMIFS(Operations[Amount],Operations[Bank],flow_7[[#This Row],[Bank]],Operations[Product],flow_7[[#This Row],[Product]],Operations[Month],$B$11)</f>
        <v>0</v>
      </c>
      <c r="E8" s="11">
        <f ca="1">flow_7[[#This Row],[Opening balance]]+flow_7[[#This Row],[Operations]]</f>
        <v>390.5</v>
      </c>
      <c r="G8" t="s">
        <v>37</v>
      </c>
      <c r="H8" s="12">
        <f ca="1">SUBTOTAL(109,incomes_7[Total])</f>
        <v>5920</v>
      </c>
      <c r="J8" t="s">
        <v>17</v>
      </c>
      <c r="K8" s="11">
        <f ca="1">SUMIFS(Operations[Amount],Operations[Month],$B$11,Operations[Category],expenses_7[[#This Row],[Category]])</f>
        <v>0</v>
      </c>
    </row>
    <row r="9" spans="1:11" x14ac:dyDescent="0.25">
      <c r="A9" t="s">
        <v>37</v>
      </c>
      <c r="C9" s="11">
        <f ca="1">SUBTOTAL(109,flow_7[Opening balance])</f>
        <v>10192.950000000001</v>
      </c>
      <c r="D9" s="11">
        <f ca="1">SUBTOTAL(109,flow_7[Operations])</f>
        <v>2915</v>
      </c>
      <c r="E9" s="11">
        <f ca="1">SUBTOTAL(109,flow_7[Closing balance])</f>
        <v>13107.95</v>
      </c>
      <c r="J9" t="s">
        <v>23</v>
      </c>
      <c r="K9" s="11">
        <f ca="1">SUMIFS(Operations[Amount],Operations[Month],$B$11,Operations[Category],expenses_7[[#This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SUMIFS(Operations[Amount],Operations[Month],$B$11,Operations[Category],expenses_7[[#This Row],[Category]])</f>
        <v>-90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7</v>
      </c>
      <c r="J11" t="s">
        <v>37</v>
      </c>
      <c r="K11" s="11">
        <f ca="1">SUBTOTAL(109,expenses_7[Total])</f>
        <v>-3005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11">
        <f ca="1">SUMIFS(Operations[Amount],Operations[Month],$B$11,Operations[Type],balance_7[[#This Row],[Type]])</f>
        <v>5920</v>
      </c>
    </row>
    <row r="16" spans="1:11" x14ac:dyDescent="0.25">
      <c r="A16" t="s">
        <v>29</v>
      </c>
      <c r="B16" s="11">
        <f ca="1">SUMIFS(Operations[Amount],Operations[Month],$B$11,Operations[Type],balance_7[[#This Row],[Type]])</f>
        <v>0</v>
      </c>
    </row>
    <row r="17" spans="1:2" x14ac:dyDescent="0.25">
      <c r="A17" t="s">
        <v>37</v>
      </c>
      <c r="B17" s="11">
        <f ca="1">SUBTOTAL(109,balance_7[Total])</f>
        <v>2915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AA9E-F0C4-4313-814C-E8C532A6D1DB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368.5</v>
      </c>
      <c r="D2" s="11">
        <f ca="1">SUMIFS(Operations[Amount],Operations[Bank],flow_8[[#This Row],[Bank]],Operations[Product],flow_8[[#This Row],[Product]],Operations[Month],$B$11)</f>
        <v>200</v>
      </c>
      <c r="E2" s="11">
        <f ca="1">flow_8[[#This Row],[Opening balance]]+flow_8[[#This Row],[Operations]]</f>
        <v>568.5</v>
      </c>
      <c r="G2" t="s">
        <v>19</v>
      </c>
      <c r="H2" s="11">
        <f ca="1">SUMIFS(Operations[Amount],Operations[Month],$B$11,Operations[Category],incomes_8[[#This Row],[Category]])</f>
        <v>0</v>
      </c>
      <c r="J2" t="s">
        <v>11</v>
      </c>
      <c r="K2" s="11">
        <f ca="1">SUMIFS(Operations[Amount],Operations[Month],$B$11,Operations[Category],expenses_8[[#This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1386</v>
      </c>
      <c r="D3" s="11">
        <f ca="1">SUMIFS(Operations[Amount],Operations[Bank],flow_8[[#This Row],[Bank]],Operations[Product],flow_8[[#This Row],[Product]],Operations[Month],$B$11)</f>
        <v>-300</v>
      </c>
      <c r="E3" s="11">
        <f ca="1">flow_8[[#This Row],[Opening balance]]+flow_8[[#This Row],[Operations]]</f>
        <v>1086</v>
      </c>
      <c r="G3" t="s">
        <v>27</v>
      </c>
      <c r="H3" s="11">
        <f ca="1">SUMIFS(Operations[Amount],Operations[Month],$B$11,Operations[Category],incomes_8[[#This Row],[Category]])</f>
        <v>0</v>
      </c>
      <c r="J3" t="s">
        <v>22</v>
      </c>
      <c r="K3" s="11">
        <f ca="1">SUMIFS(Operations[Amount],Operations[Month],$B$11,Operations[Category],expenses_8[[#This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9882.44</v>
      </c>
      <c r="D4" s="11">
        <f ca="1">SUMIFS(Operations[Amount],Operations[Bank],flow_8[[#This Row],[Bank]],Operations[Product],flow_8[[#This Row],[Product]],Operations[Month],$B$11)</f>
        <v>2495</v>
      </c>
      <c r="E4" s="11">
        <f ca="1">flow_8[[#This Row],[Opening balance]]+flow_8[[#This Row],[Operations]]</f>
        <v>12377.44</v>
      </c>
      <c r="G4" t="s">
        <v>30</v>
      </c>
      <c r="H4" s="11">
        <f ca="1">SUMIFS(Operations[Amount],Operations[Month],$B$11,Operations[Category],incomes_8[[#This Row],[Category]])</f>
        <v>400</v>
      </c>
      <c r="J4" t="s">
        <v>20</v>
      </c>
      <c r="K4" s="11">
        <f ca="1">SUMIFS(Operations[Amount],Operations[Month],$B$11,Operations[Category],expenses_8[[#This Row],[Category]])</f>
        <v>-250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-135</v>
      </c>
      <c r="D5" s="11">
        <f ca="1">SUMIFS(Operations[Amount],Operations[Bank],flow_8[[#This Row],[Bank]],Operations[Product],flow_8[[#This Row],[Product]],Operations[Month],$B$11)</f>
        <v>33</v>
      </c>
      <c r="E5" s="11">
        <f ca="1">flow_8[[#This Row],[Opening balance]]+flow_8[[#This Row],[Operations]]</f>
        <v>-102</v>
      </c>
      <c r="G5" t="s">
        <v>15</v>
      </c>
      <c r="H5" s="11">
        <f ca="1">SUMIFS(Operations[Amount],Operations[Month],$B$11,Operations[Category],incomes_8[[#This Row],[Category]])</f>
        <v>0</v>
      </c>
      <c r="J5" t="s">
        <v>9</v>
      </c>
      <c r="K5" s="11">
        <f ca="1">SUMIFS(Operations[Amount],Operations[Month],$B$11,Operations[Category],expenses_8[[#This Row],[Category]])</f>
        <v>-749.5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1020</v>
      </c>
      <c r="D6" s="11">
        <f ca="1">SUMIFS(Operations[Amount],Operations[Bank],flow_8[[#This Row],[Bank]],Operations[Product],flow_8[[#This Row],[Product]],Operations[Month],$B$11)</f>
        <v>-1020</v>
      </c>
      <c r="E6" s="11">
        <f ca="1">flow_8[[#This Row],[Opening balance]]+flow_8[[#This Row],[Operations]]</f>
        <v>0</v>
      </c>
      <c r="G6" t="s">
        <v>10</v>
      </c>
      <c r="H6" s="11">
        <f ca="1">SUMIFS(Operations[Amount],Operations[Month],$B$11,Operations[Category],incomes_8[[#This Row],[Category]])</f>
        <v>4500</v>
      </c>
      <c r="J6" t="s">
        <v>28</v>
      </c>
      <c r="K6" s="11">
        <f ca="1">SUMIFS(Operations[Amount],Operations[Month],$B$11,Operations[Category],expenses_8[[#This Row],[Category]])</f>
        <v>-400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SUMIFS(Operations[Amount],Operations[Bank],flow_8[[#This Row],[Bank]],Operations[Product],flow_8[[#This Row],[Product]],Operations[Month],$B$11)</f>
        <v>0</v>
      </c>
      <c r="E7" s="11">
        <f ca="1">flow_8[[#This Row],[Opening balance]]+flow_8[[#This Row],[Operations]]</f>
        <v>195.51</v>
      </c>
      <c r="G7" t="s">
        <v>31</v>
      </c>
      <c r="H7" s="11">
        <f ca="1">SUMIFS(Operations[Amount],Operations[Month],$B$11,Operations[Category],incomes_8[[#This Row],[Category]])</f>
        <v>500</v>
      </c>
      <c r="J7" t="s">
        <v>14</v>
      </c>
      <c r="K7" s="11">
        <f ca="1">SUMIFS(Operations[Amount],Operations[Month],$B$11,Operations[Category],expenses_8[[#This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SUMIFS(Operations[Amount],Operations[Bank],flow_8[[#This Row],[Bank]],Operations[Product],flow_8[[#This Row],[Product]],Operations[Month],$B$11)</f>
        <v>2.5</v>
      </c>
      <c r="E8" s="11">
        <f ca="1">flow_8[[#This Row],[Opening balance]]+flow_8[[#This Row],[Operations]]</f>
        <v>393</v>
      </c>
      <c r="G8" t="s">
        <v>37</v>
      </c>
      <c r="H8" s="12">
        <f ca="1">SUBTOTAL(109,incomes_8[Total])</f>
        <v>5400</v>
      </c>
      <c r="J8" t="s">
        <v>17</v>
      </c>
      <c r="K8" s="11">
        <f ca="1">SUMIFS(Operations[Amount],Operations[Month],$B$11,Operations[Category],expenses_8[[#This Row],[Category]])</f>
        <v>0</v>
      </c>
    </row>
    <row r="9" spans="1:11" x14ac:dyDescent="0.25">
      <c r="A9" t="s">
        <v>37</v>
      </c>
      <c r="C9" s="11">
        <f ca="1">SUBTOTAL(109,flow_8[Opening balance])</f>
        <v>13107.95</v>
      </c>
      <c r="D9" s="11">
        <f ca="1">SUBTOTAL(109,flow_8[Operations])</f>
        <v>1410.5</v>
      </c>
      <c r="E9" s="11">
        <f ca="1">SUBTOTAL(109,flow_8[Closing balance])</f>
        <v>14518.45</v>
      </c>
      <c r="J9" t="s">
        <v>23</v>
      </c>
      <c r="K9" s="11">
        <f ca="1">SUMIFS(Operations[Amount],Operations[Month],$B$11,Operations[Category],expenses_8[[#This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SUMIFS(Operations[Amount],Operations[Month],$B$11,Operations[Category],expenses_8[[#This Row],[Category]])</f>
        <v>-290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8</v>
      </c>
      <c r="J11" t="s">
        <v>37</v>
      </c>
      <c r="K11" s="11">
        <f ca="1">SUBTOTAL(109,expenses_8[Total])</f>
        <v>-3989.5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11">
        <f ca="1">SUMIFS(Operations[Amount],Operations[Month],$B$11,Operations[Type],balance_8[[#This Row],[Type]])</f>
        <v>5400</v>
      </c>
    </row>
    <row r="16" spans="1:11" x14ac:dyDescent="0.25">
      <c r="A16" t="s">
        <v>29</v>
      </c>
      <c r="B16" s="11">
        <f ca="1">SUMIFS(Operations[Amount],Operations[Month],$B$11,Operations[Type],balance_8[[#This Row],[Type]])</f>
        <v>0</v>
      </c>
    </row>
    <row r="17" spans="1:2" x14ac:dyDescent="0.25">
      <c r="A17" t="s">
        <v>37</v>
      </c>
      <c r="B17" s="11">
        <f ca="1">SUBTOTAL(109,balance_8[Total])</f>
        <v>1410.5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40BE-AF6C-44F1-90CF-B48B77EDEDFC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568.5</v>
      </c>
      <c r="D2" s="11">
        <f ca="1">SUMIFS(Operations[Amount],Operations[Bank],flow_9[[#This Row],[Bank]],Operations[Product],flow_9[[#This Row],[Product]],Operations[Month],$B$11)</f>
        <v>-20</v>
      </c>
      <c r="E2" s="11">
        <f ca="1">flow_9[[#This Row],[Opening balance]]+flow_9[[#This Row],[Operations]]</f>
        <v>548.5</v>
      </c>
      <c r="G2" t="s">
        <v>19</v>
      </c>
      <c r="H2" s="11">
        <f ca="1">SUMIFS(Operations[Amount],Operations[Month],$B$11,Operations[Category],incomes_9[[#This Row],[Category]])</f>
        <v>0</v>
      </c>
      <c r="J2" t="s">
        <v>11</v>
      </c>
      <c r="K2" s="11">
        <f ca="1">SUMIFS(Operations[Amount],Operations[Month],$B$11,Operations[Category],expenses_9[[#This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SUMIFS(Operations[Amount],Operations[Bank],flow_9[[#This Row],[Bank]],Operations[Product],flow_9[[#This Row],[Product]],Operations[Month],$B$11)</f>
        <v>0</v>
      </c>
      <c r="E3" s="11">
        <f ca="1">flow_9[[#This Row],[Opening balance]]+flow_9[[#This Row],[Operations]]</f>
        <v>1086</v>
      </c>
      <c r="G3" t="s">
        <v>27</v>
      </c>
      <c r="H3" s="11">
        <f ca="1">SUMIFS(Operations[Amount],Operations[Month],$B$11,Operations[Category],incomes_9[[#This Row],[Category]])</f>
        <v>0</v>
      </c>
      <c r="J3" t="s">
        <v>22</v>
      </c>
      <c r="K3" s="11">
        <f ca="1">SUMIFS(Operations[Amount],Operations[Month],$B$11,Operations[Category],expenses_9[[#This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12377.44</v>
      </c>
      <c r="D4" s="11">
        <f ca="1">SUMIFS(Operations[Amount],Operations[Bank],flow_9[[#This Row],[Bank]],Operations[Product],flow_9[[#This Row],[Product]],Operations[Month],$B$11)</f>
        <v>1689.5</v>
      </c>
      <c r="E4" s="11">
        <f ca="1">flow_9[[#This Row],[Opening balance]]+flow_9[[#This Row],[Operations]]</f>
        <v>14066.94</v>
      </c>
      <c r="G4" t="s">
        <v>30</v>
      </c>
      <c r="H4" s="11">
        <f ca="1">SUMIFS(Operations[Amount],Operations[Month],$B$11,Operations[Category],incomes_9[[#This Row],[Category]])</f>
        <v>0</v>
      </c>
      <c r="J4" t="s">
        <v>20</v>
      </c>
      <c r="K4" s="11">
        <f ca="1">SUMIFS(Operations[Amount],Operations[Month],$B$11,Operations[Category],expenses_9[[#This Row],[Category]])</f>
        <v>-20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-102</v>
      </c>
      <c r="D5" s="11">
        <f ca="1">SUMIFS(Operations[Amount],Operations[Bank],flow_9[[#This Row],[Bank]],Operations[Product],flow_9[[#This Row],[Product]],Operations[Month],$B$11)</f>
        <v>82</v>
      </c>
      <c r="E5" s="11">
        <f ca="1">flow_9[[#This Row],[Opening balance]]+flow_9[[#This Row],[Operations]]</f>
        <v>-20</v>
      </c>
      <c r="G5" t="s">
        <v>15</v>
      </c>
      <c r="H5" s="11">
        <f ca="1">SUMIFS(Operations[Amount],Operations[Month],$B$11,Operations[Category],incomes_9[[#This Row],[Category]])</f>
        <v>0</v>
      </c>
      <c r="J5" t="s">
        <v>9</v>
      </c>
      <c r="K5" s="11">
        <f ca="1">SUMIFS(Operations[Amount],Operations[Month],$B$11,Operations[Category],expenses_9[[#This Row],[Category]])</f>
        <v>-538.5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SUMIFS(Operations[Amount],Operations[Bank],flow_9[[#This Row],[Bank]],Operations[Product],flow_9[[#This Row],[Product]],Operations[Month],$B$11)</f>
        <v>0</v>
      </c>
      <c r="E6" s="11">
        <f ca="1">flow_9[[#This Row],[Opening balance]]+flow_9[[#This Row],[Operations]]</f>
        <v>0</v>
      </c>
      <c r="G6" t="s">
        <v>10</v>
      </c>
      <c r="H6" s="11">
        <f ca="1">SUMIFS(Operations[Amount],Operations[Month],$B$11,Operations[Category],incomes_9[[#This Row],[Category]])</f>
        <v>4500</v>
      </c>
      <c r="J6" t="s">
        <v>28</v>
      </c>
      <c r="K6" s="11">
        <f ca="1">SUMIFS(Operations[Amount],Operations[Month],$B$11,Operations[Category],expenses_9[[#This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SUMIFS(Operations[Amount],Operations[Bank],flow_9[[#This Row],[Bank]],Operations[Product],flow_9[[#This Row],[Product]],Operations[Month],$B$11)</f>
        <v>0</v>
      </c>
      <c r="E7" s="11">
        <f ca="1">flow_9[[#This Row],[Opening balance]]+flow_9[[#This Row],[Operations]]</f>
        <v>195.51</v>
      </c>
      <c r="G7" t="s">
        <v>31</v>
      </c>
      <c r="H7" s="11">
        <f ca="1">SUMIFS(Operations[Amount],Operations[Month],$B$11,Operations[Category],incomes_9[[#This Row],[Category]])</f>
        <v>0</v>
      </c>
      <c r="J7" t="s">
        <v>14</v>
      </c>
      <c r="K7" s="11">
        <f ca="1">SUMIFS(Operations[Amount],Operations[Month],$B$11,Operations[Category],expenses_9[[#This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SUMIFS(Operations[Amount],Operations[Bank],flow_9[[#This Row],[Bank]],Operations[Product],flow_9[[#This Row],[Product]],Operations[Month],$B$11)</f>
        <v>0</v>
      </c>
      <c r="E8" s="11">
        <f ca="1">flow_9[[#This Row],[Opening balance]]+flow_9[[#This Row],[Operations]]</f>
        <v>393</v>
      </c>
      <c r="G8" t="s">
        <v>37</v>
      </c>
      <c r="H8" s="12">
        <f ca="1">SUBTOTAL(109,incomes_9[Total])</f>
        <v>4500</v>
      </c>
      <c r="J8" t="s">
        <v>17</v>
      </c>
      <c r="K8" s="11">
        <f ca="1">SUMIFS(Operations[Amount],Operations[Month],$B$11,Operations[Category],expenses_9[[#This Row],[Category]])</f>
        <v>0</v>
      </c>
    </row>
    <row r="9" spans="1:11" x14ac:dyDescent="0.25">
      <c r="A9" t="s">
        <v>37</v>
      </c>
      <c r="C9" s="11">
        <f ca="1">SUBTOTAL(109,flow_9[Opening balance])</f>
        <v>14518.45</v>
      </c>
      <c r="D9" s="11">
        <f ca="1">SUBTOTAL(109,flow_9[Operations])</f>
        <v>1751.5</v>
      </c>
      <c r="E9" s="11">
        <f ca="1">SUBTOTAL(109,flow_9[Closing balance])</f>
        <v>16269.95</v>
      </c>
      <c r="J9" t="s">
        <v>23</v>
      </c>
      <c r="K9" s="11">
        <f ca="1">SUMIFS(Operations[Amount],Operations[Month],$B$11,Operations[Category],expenses_9[[#This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SUMIFS(Operations[Amount],Operations[Month],$B$11,Operations[Category],expenses_9[[#This Row],[Category]])</f>
        <v>-150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9</v>
      </c>
      <c r="J11" t="s">
        <v>37</v>
      </c>
      <c r="K11" s="11">
        <f ca="1">SUBTOTAL(109,expenses_9[Total])</f>
        <v>-2748.5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11">
        <f ca="1">SUMIFS(Operations[Amount],Operations[Month],$B$11,Operations[Type],balance_9[[#This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SUMIFS(Operations[Amount],Operations[Month],$B$11,Operations[Type],balance_9[[#This Row],[Type]])</f>
        <v>0</v>
      </c>
    </row>
    <row r="17" spans="1:2" x14ac:dyDescent="0.25">
      <c r="A17" t="s">
        <v>37</v>
      </c>
      <c r="B17" s="11">
        <f ca="1">SUBTOTAL(109,balance_9[Total])</f>
        <v>1751.5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9699-475F-4B33-A3DD-79E5B595071F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SUMIFS(Operations[Amount],Operations[Bank],flow_10[[#This Row],[Bank]],Operations[Product],flow_10[[#This Row],[Product]],Operations[Month],$B$11)</f>
        <v>0</v>
      </c>
      <c r="E2" s="11">
        <f ca="1">flow_10[[#This Row],[Opening balance]]+flow_10[[#This Row],[Operations]]</f>
        <v>548.5</v>
      </c>
      <c r="G2" t="s">
        <v>19</v>
      </c>
      <c r="H2" s="11">
        <f ca="1">SUMIFS(Operations[Amount],Operations[Month],$B$11,Operations[Category],incomes_10[[#This Row],[Category]])</f>
        <v>0</v>
      </c>
      <c r="J2" t="s">
        <v>11</v>
      </c>
      <c r="K2" s="11">
        <f ca="1">SUMIFS(Operations[Amount],Operations[Month],$B$11,Operations[Category],expenses_10[[#This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SUMIFS(Operations[Amount],Operations[Bank],flow_10[[#This Row],[Bank]],Operations[Product],flow_10[[#This Row],[Product]],Operations[Month],$B$11)</f>
        <v>0</v>
      </c>
      <c r="E3" s="11">
        <f ca="1">flow_10[[#This Row],[Opening balance]]+flow_10[[#This Row],[Operations]]</f>
        <v>1086</v>
      </c>
      <c r="G3" t="s">
        <v>27</v>
      </c>
      <c r="H3" s="11">
        <f ca="1">SUMIFS(Operations[Amount],Operations[Month],$B$11,Operations[Category],incomes_10[[#This Row],[Category]])</f>
        <v>0</v>
      </c>
      <c r="J3" t="s">
        <v>22</v>
      </c>
      <c r="K3" s="11">
        <f ca="1">SUMIFS(Operations[Amount],Operations[Month],$B$11,Operations[Category],expenses_10[[#This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14066.94</v>
      </c>
      <c r="D4" s="11">
        <f ca="1">SUMIFS(Operations[Amount],Operations[Bank],flow_10[[#This Row],[Bank]],Operations[Product],flow_10[[#This Row],[Product]],Operations[Month],$B$11)</f>
        <v>1690</v>
      </c>
      <c r="E4" s="11">
        <f ca="1">flow_10[[#This Row],[Opening balance]]+flow_10[[#This Row],[Operations]]</f>
        <v>15756.94</v>
      </c>
      <c r="G4" t="s">
        <v>30</v>
      </c>
      <c r="H4" s="11">
        <f ca="1">SUMIFS(Operations[Amount],Operations[Month],$B$11,Operations[Category],incomes_10[[#This Row],[Category]])</f>
        <v>0</v>
      </c>
      <c r="J4" t="s">
        <v>20</v>
      </c>
      <c r="K4" s="11">
        <f ca="1">SUMIFS(Operations[Amount],Operations[Month],$B$11,Operations[Category],expenses_10[[#This Row],[Category]])</f>
        <v>-40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-20</v>
      </c>
      <c r="D5" s="11">
        <f ca="1">SUMIFS(Operations[Amount],Operations[Bank],flow_10[[#This Row],[Bank]],Operations[Product],flow_10[[#This Row],[Product]],Operations[Month],$B$11)</f>
        <v>-20</v>
      </c>
      <c r="E5" s="11">
        <f ca="1">flow_10[[#This Row],[Opening balance]]+flow_10[[#This Row],[Operations]]</f>
        <v>-40</v>
      </c>
      <c r="G5" t="s">
        <v>15</v>
      </c>
      <c r="H5" s="11">
        <f ca="1">SUMIFS(Operations[Amount],Operations[Month],$B$11,Operations[Category],incomes_10[[#This Row],[Category]])</f>
        <v>0</v>
      </c>
      <c r="J5" t="s">
        <v>9</v>
      </c>
      <c r="K5" s="11">
        <f ca="1">SUMIFS(Operations[Amount],Operations[Month],$B$11,Operations[Category],expenses_10[[#This Row],[Category]])</f>
        <v>-600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SUMIFS(Operations[Amount],Operations[Bank],flow_10[[#This Row],[Bank]],Operations[Product],flow_10[[#This Row],[Product]],Operations[Month],$B$11)</f>
        <v>0</v>
      </c>
      <c r="E6" s="11">
        <f ca="1">flow_10[[#This Row],[Opening balance]]+flow_10[[#This Row],[Operations]]</f>
        <v>0</v>
      </c>
      <c r="G6" t="s">
        <v>10</v>
      </c>
      <c r="H6" s="11">
        <f ca="1">SUMIFS(Operations[Amount],Operations[Month],$B$11,Operations[Category],incomes_10[[#This Row],[Category]])</f>
        <v>4500</v>
      </c>
      <c r="J6" t="s">
        <v>28</v>
      </c>
      <c r="K6" s="11">
        <f ca="1">SUMIFS(Operations[Amount],Operations[Month],$B$11,Operations[Category],expenses_10[[#This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SUMIFS(Operations[Amount],Operations[Bank],flow_10[[#This Row],[Bank]],Operations[Product],flow_10[[#This Row],[Product]],Operations[Month],$B$11)</f>
        <v>0</v>
      </c>
      <c r="E7" s="11">
        <f ca="1">flow_10[[#This Row],[Opening balance]]+flow_10[[#This Row],[Operations]]</f>
        <v>195.51</v>
      </c>
      <c r="G7" t="s">
        <v>31</v>
      </c>
      <c r="H7" s="11">
        <f ca="1">SUMIFS(Operations[Amount],Operations[Month],$B$11,Operations[Category],incomes_10[[#This Row],[Category]])</f>
        <v>0</v>
      </c>
      <c r="J7" t="s">
        <v>14</v>
      </c>
      <c r="K7" s="11">
        <f ca="1">SUMIFS(Operations[Amount],Operations[Month],$B$11,Operations[Category],expenses_10[[#This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SUMIFS(Operations[Amount],Operations[Bank],flow_10[[#This Row],[Bank]],Operations[Product],flow_10[[#This Row],[Product]],Operations[Month],$B$11)</f>
        <v>0</v>
      </c>
      <c r="E8" s="11">
        <f ca="1">flow_10[[#This Row],[Opening balance]]+flow_10[[#This Row],[Operations]]</f>
        <v>393</v>
      </c>
      <c r="G8" t="s">
        <v>37</v>
      </c>
      <c r="H8" s="12">
        <f ca="1">SUBTOTAL(109,incomes_10[Total])</f>
        <v>4500</v>
      </c>
      <c r="J8" t="s">
        <v>17</v>
      </c>
      <c r="K8" s="11">
        <f ca="1">SUMIFS(Operations[Amount],Operations[Month],$B$11,Operations[Category],expenses_10[[#This Row],[Category]])</f>
        <v>0</v>
      </c>
    </row>
    <row r="9" spans="1:11" x14ac:dyDescent="0.25">
      <c r="A9" t="s">
        <v>37</v>
      </c>
      <c r="C9" s="11">
        <f ca="1">SUBTOTAL(109,flow_10[Opening balance])</f>
        <v>16269.95</v>
      </c>
      <c r="D9" s="11">
        <f ca="1">SUBTOTAL(109,flow_10[Operations])</f>
        <v>1670</v>
      </c>
      <c r="E9" s="11">
        <f ca="1">SUBTOTAL(109,flow_10[Closing balance])</f>
        <v>17939.95</v>
      </c>
      <c r="J9" t="s">
        <v>23</v>
      </c>
      <c r="K9" s="11">
        <f ca="1">SUMIFS(Operations[Amount],Operations[Month],$B$11,Operations[Category],expenses_10[[#This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SUMIFS(Operations[Amount],Operations[Month],$B$11,Operations[Category],expenses_10[[#This Row],[Category]])</f>
        <v>-150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10</v>
      </c>
      <c r="J11" t="s">
        <v>37</v>
      </c>
      <c r="K11" s="11">
        <f ca="1">SUBTOTAL(109,expenses_10[Total])</f>
        <v>-2830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11">
        <f ca="1">SUMIFS(Operations[Amount],Operations[Month],$B$11,Operations[Type],balance_10[[#This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SUMIFS(Operations[Amount],Operations[Month],$B$11,Operations[Type],balance_10[[#This Row],[Type]])</f>
        <v>0</v>
      </c>
    </row>
    <row r="17" spans="1:2" x14ac:dyDescent="0.25">
      <c r="A17" t="s">
        <v>37</v>
      </c>
      <c r="B17" s="11">
        <f ca="1">SUBTOTAL(109,balance_10[Total])</f>
        <v>1670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0892-A76D-4923-8452-DB89DBC1A017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SUMIFS(Operations[Amount],Operations[Bank],flow_11[[#This Row],[Bank]],Operations[Product],flow_11[[#This Row],[Product]],Operations[Month],$B$11)</f>
        <v>0</v>
      </c>
      <c r="E2" s="11">
        <f ca="1">flow_11[[#This Row],[Opening balance]]+flow_11[[#This Row],[Operations]]</f>
        <v>548.5</v>
      </c>
      <c r="G2" t="s">
        <v>19</v>
      </c>
      <c r="H2" s="11">
        <f ca="1">SUMIFS(Operations[Amount],Operations[Month],$B$11,Operations[Category],incomes_11[[#This Row],[Category]])</f>
        <v>0</v>
      </c>
      <c r="J2" t="s">
        <v>11</v>
      </c>
      <c r="K2" s="11">
        <f ca="1">SUMIFS(Operations[Amount],Operations[Month],$B$11,Operations[Category],expenses_11[[#This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SUMIFS(Operations[Amount],Operations[Bank],flow_11[[#This Row],[Bank]],Operations[Product],flow_11[[#This Row],[Product]],Operations[Month],$B$11)</f>
        <v>0</v>
      </c>
      <c r="E3" s="11">
        <f ca="1">flow_11[[#This Row],[Opening balance]]+flow_11[[#This Row],[Operations]]</f>
        <v>1086</v>
      </c>
      <c r="G3" t="s">
        <v>27</v>
      </c>
      <c r="H3" s="11">
        <f ca="1">SUMIFS(Operations[Amount],Operations[Month],$B$11,Operations[Category],incomes_11[[#This Row],[Category]])</f>
        <v>0</v>
      </c>
      <c r="J3" t="s">
        <v>22</v>
      </c>
      <c r="K3" s="11">
        <f ca="1">SUMIFS(Operations[Amount],Operations[Month],$B$11,Operations[Category],expenses_11[[#This Row],[Category]])</f>
        <v>-158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15756.94</v>
      </c>
      <c r="D4" s="11">
        <f ca="1">SUMIFS(Operations[Amount],Operations[Bank],flow_11[[#This Row],[Bank]],Operations[Product],flow_11[[#This Row],[Product]],Operations[Month],$B$11)</f>
        <v>960</v>
      </c>
      <c r="E4" s="11">
        <f ca="1">flow_11[[#This Row],[Opening balance]]+flow_11[[#This Row],[Operations]]</f>
        <v>16716.940000000002</v>
      </c>
      <c r="G4" t="s">
        <v>30</v>
      </c>
      <c r="H4" s="11">
        <f ca="1">SUMIFS(Operations[Amount],Operations[Month],$B$11,Operations[Category],incomes_11[[#This Row],[Category]])</f>
        <v>400</v>
      </c>
      <c r="J4" t="s">
        <v>20</v>
      </c>
      <c r="K4" s="11">
        <f ca="1">SUMIFS(Operations[Amount],Operations[Month],$B$11,Operations[Category],expenses_11[[#This Row],[Category]])</f>
        <v>-214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-40</v>
      </c>
      <c r="D5" s="11">
        <f ca="1">SUMIFS(Operations[Amount],Operations[Bank],flow_11[[#This Row],[Bank]],Operations[Product],flow_11[[#This Row],[Product]],Operations[Month],$B$11)</f>
        <v>40</v>
      </c>
      <c r="E5" s="11">
        <f ca="1">flow_11[[#This Row],[Opening balance]]+flow_11[[#This Row],[Operations]]</f>
        <v>0</v>
      </c>
      <c r="G5" t="s">
        <v>15</v>
      </c>
      <c r="H5" s="11">
        <f ca="1">SUMIFS(Operations[Amount],Operations[Month],$B$11,Operations[Category],incomes_11[[#This Row],[Category]])</f>
        <v>0</v>
      </c>
      <c r="J5" t="s">
        <v>9</v>
      </c>
      <c r="K5" s="11">
        <f ca="1">SUMIFS(Operations[Amount],Operations[Month],$B$11,Operations[Category],expenses_11[[#This Row],[Category]])</f>
        <v>-506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SUMIFS(Operations[Amount],Operations[Bank],flow_11[[#This Row],[Bank]],Operations[Product],flow_11[[#This Row],[Product]],Operations[Month],$B$11)</f>
        <v>0</v>
      </c>
      <c r="E6" s="11">
        <f ca="1">flow_11[[#This Row],[Opening balance]]+flow_11[[#This Row],[Operations]]</f>
        <v>0</v>
      </c>
      <c r="G6" t="s">
        <v>10</v>
      </c>
      <c r="H6" s="11">
        <f ca="1">SUMIFS(Operations[Amount],Operations[Month],$B$11,Operations[Category],incomes_11[[#This Row],[Category]])</f>
        <v>4500</v>
      </c>
      <c r="J6" t="s">
        <v>28</v>
      </c>
      <c r="K6" s="11">
        <f ca="1">SUMIFS(Operations[Amount],Operations[Month],$B$11,Operations[Category],expenses_11[[#This Row],[Category]])</f>
        <v>-133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SUMIFS(Operations[Amount],Operations[Bank],flow_11[[#This Row],[Bank]],Operations[Product],flow_11[[#This Row],[Product]],Operations[Month],$B$11)</f>
        <v>0</v>
      </c>
      <c r="E7" s="11">
        <f ca="1">flow_11[[#This Row],[Opening balance]]+flow_11[[#This Row],[Operations]]</f>
        <v>195.51</v>
      </c>
      <c r="G7" t="s">
        <v>31</v>
      </c>
      <c r="H7" s="11">
        <f ca="1">SUMIFS(Operations[Amount],Operations[Month],$B$11,Operations[Category],incomes_11[[#This Row],[Category]])</f>
        <v>0</v>
      </c>
      <c r="J7" t="s">
        <v>14</v>
      </c>
      <c r="K7" s="11">
        <f ca="1">SUMIFS(Operations[Amount],Operations[Month],$B$11,Operations[Category],expenses_11[[#This Row],[Category]])</f>
        <v>-47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SUMIFS(Operations[Amount],Operations[Bank],flow_11[[#This Row],[Bank]],Operations[Product],flow_11[[#This Row],[Product]],Operations[Month],$B$11)</f>
        <v>400</v>
      </c>
      <c r="E8" s="11">
        <f ca="1">flow_11[[#This Row],[Opening balance]]+flow_11[[#This Row],[Operations]]</f>
        <v>793</v>
      </c>
      <c r="G8" t="s">
        <v>37</v>
      </c>
      <c r="H8" s="12">
        <f ca="1">SUBTOTAL(109,incomes_11[Total])</f>
        <v>4900</v>
      </c>
      <c r="J8" t="s">
        <v>17</v>
      </c>
      <c r="K8" s="11">
        <f ca="1">SUMIFS(Operations[Amount],Operations[Month],$B$11,Operations[Category],expenses_11[[#This Row],[Category]])</f>
        <v>-234</v>
      </c>
    </row>
    <row r="9" spans="1:11" x14ac:dyDescent="0.25">
      <c r="A9" t="s">
        <v>37</v>
      </c>
      <c r="C9" s="11">
        <f ca="1">SUBTOTAL(109,flow_11[Opening balance])</f>
        <v>17939.95</v>
      </c>
      <c r="D9" s="11">
        <f ca="1">SUBTOTAL(109,flow_11[Operations])</f>
        <v>1400</v>
      </c>
      <c r="E9" s="11">
        <f ca="1">SUBTOTAL(109,flow_11[Closing balance])</f>
        <v>19339.95</v>
      </c>
      <c r="J9" t="s">
        <v>23</v>
      </c>
      <c r="K9" s="11">
        <f ca="1">SUMIFS(Operations[Amount],Operations[Month],$B$11,Operations[Category],expenses_11[[#This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SUMIFS(Operations[Amount],Operations[Month],$B$11,Operations[Category],expenses_11[[#This Row],[Category]])</f>
        <v>-208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11</v>
      </c>
      <c r="J11" t="s">
        <v>37</v>
      </c>
      <c r="K11" s="11">
        <f ca="1">SUBTOTAL(109,expenses_11[Total])</f>
        <v>-3500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11">
        <f ca="1">SUMIFS(Operations[Amount],Operations[Month],$B$11,Operations[Type],balance_11[[#This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SUMIFS(Operations[Amount],Operations[Month],$B$11,Operations[Type],balance_11[[#This Row],[Type]])</f>
        <v>0</v>
      </c>
    </row>
    <row r="17" spans="1:2" x14ac:dyDescent="0.25">
      <c r="A17" t="s">
        <v>37</v>
      </c>
      <c r="B17" s="11">
        <f ca="1">SUBTOTAL(109,balance_11[Total])</f>
        <v>1400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EDF5-8C3D-4E00-8FB4-A0D1C8A70DC6}">
  <dimension ref="A1:K17"/>
  <sheetViews>
    <sheetView zoomScale="160" zoomScaleNormal="160" workbookViewId="0">
      <selection activeCell="E9" sqref="E9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SUMIFS(Operations[Amount],Operations[Bank],flow_12[[#This Row],[Bank]],Operations[Product],flow_12[[#This Row],[Product]],Operations[Month],$B$11)</f>
        <v>0</v>
      </c>
      <c r="E2" s="11">
        <f ca="1">flow_12[[#This Row],[Opening balance]]+flow_12[[#This Row],[Operations]]</f>
        <v>548.5</v>
      </c>
      <c r="G2" t="s">
        <v>19</v>
      </c>
      <c r="H2" s="11">
        <f ca="1">SUMIFS(Operations[Amount],Operations[Month],$B$11,Operations[Category],incomes_12[[#This Row],[Category]])</f>
        <v>0</v>
      </c>
      <c r="J2" t="s">
        <v>11</v>
      </c>
      <c r="K2" s="11">
        <f ca="1">SUMIFS(Operations[Amount],Operations[Month],$B$11,Operations[Category],expenses_12[[#This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SUMIFS(Operations[Amount],Operations[Bank],flow_12[[#This Row],[Bank]],Operations[Product],flow_12[[#This Row],[Product]],Operations[Month],$B$11)</f>
        <v>0</v>
      </c>
      <c r="E3" s="11">
        <f ca="1">flow_12[[#This Row],[Opening balance]]+flow_12[[#This Row],[Operations]]</f>
        <v>1086</v>
      </c>
      <c r="G3" t="s">
        <v>27</v>
      </c>
      <c r="H3" s="11">
        <f ca="1">SUMIFS(Operations[Amount],Operations[Month],$B$11,Operations[Category],incomes_12[[#This Row],[Category]])</f>
        <v>0</v>
      </c>
      <c r="J3" t="s">
        <v>22</v>
      </c>
      <c r="K3" s="11">
        <f ca="1">SUMIFS(Operations[Amount],Operations[Month],$B$11,Operations[Category],expenses_12[[#This Row],[Category]])</f>
        <v>-120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16716.940000000002</v>
      </c>
      <c r="D4" s="11">
        <f ca="1">SUMIFS(Operations[Amount],Operations[Bank],flow_12[[#This Row],[Bank]],Operations[Product],flow_12[[#This Row],[Product]],Operations[Month],$B$11)</f>
        <v>1320</v>
      </c>
      <c r="E4" s="11">
        <f ca="1">flow_12[[#This Row],[Opening balance]]+flow_12[[#This Row],[Operations]]</f>
        <v>18036.940000000002</v>
      </c>
      <c r="G4" t="s">
        <v>30</v>
      </c>
      <c r="H4" s="11">
        <f ca="1">SUMIFS(Operations[Amount],Operations[Month],$B$11,Operations[Category],incomes_12[[#This Row],[Category]])</f>
        <v>2000</v>
      </c>
      <c r="J4" t="s">
        <v>20</v>
      </c>
      <c r="K4" s="11">
        <f ca="1">SUMIFS(Operations[Amount],Operations[Month],$B$11,Operations[Category],expenses_12[[#This Row],[Category]])</f>
        <v>-450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SUMIFS(Operations[Amount],Operations[Bank],flow_12[[#This Row],[Bank]],Operations[Product],flow_12[[#This Row],[Product]],Operations[Month],$B$11)</f>
        <v>0</v>
      </c>
      <c r="E5" s="11">
        <f ca="1">flow_12[[#This Row],[Opening balance]]+flow_12[[#This Row],[Operations]]</f>
        <v>0</v>
      </c>
      <c r="G5" t="s">
        <v>15</v>
      </c>
      <c r="H5" s="11">
        <f ca="1">SUMIFS(Operations[Amount],Operations[Month],$B$11,Operations[Category],incomes_12[[#This Row],[Category]])</f>
        <v>0</v>
      </c>
      <c r="J5" t="s">
        <v>9</v>
      </c>
      <c r="K5" s="11">
        <f ca="1">SUMIFS(Operations[Amount],Operations[Month],$B$11,Operations[Category],expenses_12[[#This Row],[Category]])</f>
        <v>-700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SUMIFS(Operations[Amount],Operations[Bank],flow_12[[#This Row],[Bank]],Operations[Product],flow_12[[#This Row],[Product]],Operations[Month],$B$11)</f>
        <v>0</v>
      </c>
      <c r="E6" s="11">
        <f ca="1">flow_12[[#This Row],[Opening balance]]+flow_12[[#This Row],[Operations]]</f>
        <v>0</v>
      </c>
      <c r="G6" t="s">
        <v>10</v>
      </c>
      <c r="H6" s="11">
        <f ca="1">SUMIFS(Operations[Amount],Operations[Month],$B$11,Operations[Category],incomes_12[[#This Row],[Category]])</f>
        <v>4500</v>
      </c>
      <c r="J6" t="s">
        <v>28</v>
      </c>
      <c r="K6" s="11">
        <f ca="1">SUMIFS(Operations[Amount],Operations[Month],$B$11,Operations[Category],expenses_12[[#This Row],[Category]])</f>
        <v>-10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SUMIFS(Operations[Amount],Operations[Bank],flow_12[[#This Row],[Bank]],Operations[Product],flow_12[[#This Row],[Product]],Operations[Month],$B$11)</f>
        <v>0</v>
      </c>
      <c r="E7" s="11">
        <f ca="1">flow_12[[#This Row],[Opening balance]]+flow_12[[#This Row],[Operations]]</f>
        <v>195.51</v>
      </c>
      <c r="G7" t="s">
        <v>31</v>
      </c>
      <c r="H7" s="11">
        <f ca="1">SUMIFS(Operations[Amount],Operations[Month],$B$11,Operations[Category],incomes_12[[#This Row],[Category]])</f>
        <v>0</v>
      </c>
      <c r="J7" t="s">
        <v>14</v>
      </c>
      <c r="K7" s="11">
        <f ca="1">SUMIFS(Operations[Amount],Operations[Month],$B$11,Operations[Category],expenses_12[[#This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793</v>
      </c>
      <c r="D8" s="11">
        <f ca="1">SUMIFS(Operations[Amount],Operations[Bank],flow_12[[#This Row],[Bank]],Operations[Product],flow_12[[#This Row],[Product]],Operations[Month],$B$11)</f>
        <v>1100</v>
      </c>
      <c r="E8" s="11">
        <f ca="1">flow_12[[#This Row],[Opening balance]]+flow_12[[#This Row],[Operations]]</f>
        <v>1893</v>
      </c>
      <c r="G8" t="s">
        <v>37</v>
      </c>
      <c r="H8" s="12">
        <f ca="1">SUBTOTAL(109,incomes_12[Total])</f>
        <v>6500</v>
      </c>
      <c r="J8" t="s">
        <v>17</v>
      </c>
      <c r="K8" s="11">
        <f ca="1">SUMIFS(Operations[Amount],Operations[Month],$B$11,Operations[Category],expenses_12[[#This Row],[Category]])</f>
        <v>-700</v>
      </c>
    </row>
    <row r="9" spans="1:11" x14ac:dyDescent="0.25">
      <c r="A9" t="s">
        <v>37</v>
      </c>
      <c r="C9" s="11">
        <f ca="1">SUBTOTAL(109,flow_12[Opening balance])</f>
        <v>19339.95</v>
      </c>
      <c r="D9" s="11">
        <f ca="1">SUBTOTAL(109,flow_12[Operations])</f>
        <v>2420</v>
      </c>
      <c r="E9" s="11">
        <f ca="1">SUBTOTAL(109,flow_12[Closing balance])</f>
        <v>21759.95</v>
      </c>
      <c r="J9" t="s">
        <v>23</v>
      </c>
      <c r="K9" s="11">
        <f ca="1">SUMIFS(Operations[Amount],Operations[Month],$B$11,Operations[Category],expenses_12[[#This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SUMIFS(Operations[Amount],Operations[Month],$B$11,Operations[Category],expenses_12[[#This Row],[Category]])</f>
        <v>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12</v>
      </c>
      <c r="J11" t="s">
        <v>37</v>
      </c>
      <c r="K11" s="11">
        <f ca="1">SUBTOTAL(109,expenses_12[Total])</f>
        <v>-4080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11">
        <f ca="1">SUMIFS(Operations[Amount],Operations[Month],$B$11,Operations[Type],balance_12[[#This Row],[Type]])</f>
        <v>6500</v>
      </c>
    </row>
    <row r="16" spans="1:11" x14ac:dyDescent="0.25">
      <c r="A16" t="s">
        <v>29</v>
      </c>
      <c r="B16" s="11">
        <f ca="1">SUMIFS(Operations[Amount],Operations[Month],$B$11,Operations[Type],balance_12[[#This Row],[Type]])</f>
        <v>0</v>
      </c>
    </row>
    <row r="17" spans="1:2" x14ac:dyDescent="0.25">
      <c r="A17" t="s">
        <v>37</v>
      </c>
      <c r="B17" s="11">
        <f ca="1">SUBTOTAL(109,balance_12[Total])</f>
        <v>2420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F5CC3-C091-49DD-80B2-989C43C87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operations</vt:lpstr>
      <vt:lpstr>dicionary</vt:lpstr>
      <vt:lpstr>summary1</vt:lpstr>
      <vt:lpstr>summary2</vt:lpstr>
      <vt:lpstr>summary3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Maja Abuhasna</cp:lastModifiedBy>
  <cp:revision/>
  <dcterms:created xsi:type="dcterms:W3CDTF">2024-12-14T15:11:08Z</dcterms:created>
  <dcterms:modified xsi:type="dcterms:W3CDTF">2025-12-08T13:31:10Z</dcterms:modified>
  <cp:category/>
  <cp:contentStatus/>
</cp:coreProperties>
</file>