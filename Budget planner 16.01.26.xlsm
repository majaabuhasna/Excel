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-A301-08\Desktop\Excel\"/>
    </mc:Choice>
  </mc:AlternateContent>
  <xr:revisionPtr revIDLastSave="0" documentId="13_ncr:1_{7CECA6F3-A7E3-4AF2-B0A1-D6D08326B207}" xr6:coauthVersionLast="47" xr6:coauthVersionMax="47" xr10:uidLastSave="{00000000-0000-0000-0000-000000000000}"/>
  <bookViews>
    <workbookView xWindow="-120" yWindow="-120" windowWidth="29040" windowHeight="15840" xr2:uid="{1350B4C1-6FA8-4F8D-9418-F675D7B2477F}"/>
  </bookViews>
  <sheets>
    <sheet name="1" sheetId="1" r:id="rId1"/>
    <sheet name="2" sheetId="26" r:id="rId2"/>
    <sheet name="3" sheetId="27" r:id="rId3"/>
    <sheet name="4" sheetId="28" r:id="rId4"/>
    <sheet name="5" sheetId="29" r:id="rId5"/>
    <sheet name="6" sheetId="30" r:id="rId6"/>
    <sheet name="7" sheetId="31" r:id="rId7"/>
    <sheet name="8" sheetId="32" r:id="rId8"/>
    <sheet name="9" sheetId="33" r:id="rId9"/>
    <sheet name="10" sheetId="34" r:id="rId10"/>
    <sheet name="11" sheetId="35" r:id="rId11"/>
    <sheet name="12" sheetId="36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7" i="36" l="1"/>
  <c r="V27" i="36"/>
  <c r="S27" i="36"/>
  <c r="R27" i="36"/>
  <c r="N27" i="36"/>
  <c r="M27" i="36"/>
  <c r="G27" i="36"/>
  <c r="B27" i="36"/>
  <c r="X26" i="36"/>
  <c r="X25" i="36"/>
  <c r="X24" i="36"/>
  <c r="X23" i="36"/>
  <c r="X22" i="36"/>
  <c r="X21" i="36"/>
  <c r="X20" i="36"/>
  <c r="X19" i="36"/>
  <c r="X18" i="36"/>
  <c r="X17" i="36"/>
  <c r="X16" i="36"/>
  <c r="X15" i="36"/>
  <c r="X14" i="36"/>
  <c r="X27" i="36" s="1"/>
  <c r="X13" i="36"/>
  <c r="A2" i="36" a="1"/>
  <c r="A2" i="36" s="1"/>
  <c r="W27" i="35"/>
  <c r="V27" i="35"/>
  <c r="S27" i="35"/>
  <c r="R27" i="35"/>
  <c r="N27" i="35"/>
  <c r="M27" i="35"/>
  <c r="G27" i="35"/>
  <c r="B27" i="35"/>
  <c r="X26" i="35"/>
  <c r="X25" i="35"/>
  <c r="X24" i="35"/>
  <c r="X23" i="35"/>
  <c r="X22" i="35"/>
  <c r="X21" i="35"/>
  <c r="X20" i="35"/>
  <c r="X19" i="35"/>
  <c r="X18" i="35"/>
  <c r="X17" i="35"/>
  <c r="X16" i="35"/>
  <c r="X15" i="35"/>
  <c r="X14" i="35"/>
  <c r="X13" i="35"/>
  <c r="X27" i="35" s="1"/>
  <c r="A2" i="35" a="1"/>
  <c r="A2" i="35" s="1"/>
  <c r="L17" i="35" s="1"/>
  <c r="W27" i="34"/>
  <c r="V27" i="34"/>
  <c r="S27" i="34"/>
  <c r="R27" i="34"/>
  <c r="N27" i="34"/>
  <c r="M27" i="34"/>
  <c r="G27" i="34"/>
  <c r="B27" i="34"/>
  <c r="X26" i="34"/>
  <c r="X25" i="34"/>
  <c r="X24" i="34"/>
  <c r="X23" i="34"/>
  <c r="X22" i="34"/>
  <c r="X21" i="34"/>
  <c r="X20" i="34"/>
  <c r="X19" i="34"/>
  <c r="X18" i="34"/>
  <c r="X17" i="34"/>
  <c r="X16" i="34"/>
  <c r="X15" i="34"/>
  <c r="X14" i="34"/>
  <c r="X13" i="34"/>
  <c r="X27" i="34" s="1"/>
  <c r="A2" i="34" a="1"/>
  <c r="A2" i="34" s="1"/>
  <c r="L17" i="34" s="1"/>
  <c r="W27" i="33"/>
  <c r="V27" i="33"/>
  <c r="S27" i="33"/>
  <c r="R27" i="33"/>
  <c r="N27" i="33"/>
  <c r="M27" i="33"/>
  <c r="G27" i="33"/>
  <c r="B27" i="33"/>
  <c r="X26" i="33"/>
  <c r="X25" i="33"/>
  <c r="X24" i="33"/>
  <c r="X23" i="33"/>
  <c r="X22" i="33"/>
  <c r="X21" i="33"/>
  <c r="X20" i="33"/>
  <c r="X19" i="33"/>
  <c r="X18" i="33"/>
  <c r="X17" i="33"/>
  <c r="X16" i="33"/>
  <c r="X15" i="33"/>
  <c r="X14" i="33"/>
  <c r="X13" i="33"/>
  <c r="X27" i="33" s="1"/>
  <c r="A2" i="33" a="1"/>
  <c r="A2" i="33" s="1"/>
  <c r="L17" i="33" s="1"/>
  <c r="W27" i="32"/>
  <c r="V27" i="32"/>
  <c r="S27" i="32"/>
  <c r="R27" i="32"/>
  <c r="N27" i="32"/>
  <c r="M27" i="32"/>
  <c r="G27" i="32"/>
  <c r="B27" i="32"/>
  <c r="X26" i="32"/>
  <c r="X25" i="32"/>
  <c r="X24" i="32"/>
  <c r="X23" i="32"/>
  <c r="X22" i="32"/>
  <c r="X21" i="32"/>
  <c r="X20" i="32"/>
  <c r="X19" i="32"/>
  <c r="X18" i="32"/>
  <c r="X17" i="32"/>
  <c r="X16" i="32"/>
  <c r="X15" i="32"/>
  <c r="X14" i="32"/>
  <c r="X13" i="32"/>
  <c r="X27" i="32" s="1"/>
  <c r="A2" i="32" a="1"/>
  <c r="A2" i="32" s="1"/>
  <c r="W27" i="31"/>
  <c r="V27" i="31"/>
  <c r="S27" i="31"/>
  <c r="R27" i="31"/>
  <c r="N27" i="31"/>
  <c r="M27" i="31"/>
  <c r="G27" i="31"/>
  <c r="B27" i="31"/>
  <c r="X26" i="31"/>
  <c r="X25" i="31"/>
  <c r="X24" i="31"/>
  <c r="X23" i="31"/>
  <c r="X22" i="31"/>
  <c r="X21" i="31"/>
  <c r="X20" i="31"/>
  <c r="X19" i="31"/>
  <c r="X18" i="31"/>
  <c r="X17" i="31"/>
  <c r="X16" i="31"/>
  <c r="X15" i="31"/>
  <c r="X14" i="31"/>
  <c r="X27" i="31" s="1"/>
  <c r="X13" i="31"/>
  <c r="A2" i="31" a="1"/>
  <c r="A2" i="31" s="1"/>
  <c r="W27" i="30"/>
  <c r="V27" i="30"/>
  <c r="S27" i="30"/>
  <c r="R27" i="30"/>
  <c r="N27" i="30"/>
  <c r="M27" i="30"/>
  <c r="G27" i="30"/>
  <c r="B27" i="30"/>
  <c r="X26" i="30"/>
  <c r="X25" i="30"/>
  <c r="X24" i="30"/>
  <c r="X23" i="30"/>
  <c r="X22" i="30"/>
  <c r="X21" i="30"/>
  <c r="X20" i="30"/>
  <c r="X19" i="30"/>
  <c r="X18" i="30"/>
  <c r="X17" i="30"/>
  <c r="X16" i="30"/>
  <c r="X15" i="30"/>
  <c r="X14" i="30"/>
  <c r="X13" i="30"/>
  <c r="X27" i="30" s="1"/>
  <c r="A2" i="30" a="1"/>
  <c r="A2" i="30" s="1"/>
  <c r="L17" i="30" s="1"/>
  <c r="W27" i="29"/>
  <c r="V27" i="29"/>
  <c r="S27" i="29"/>
  <c r="R27" i="29"/>
  <c r="N27" i="29"/>
  <c r="M27" i="29"/>
  <c r="G27" i="29"/>
  <c r="B27" i="29"/>
  <c r="X26" i="29"/>
  <c r="X25" i="29"/>
  <c r="X24" i="29"/>
  <c r="X23" i="29"/>
  <c r="X22" i="29"/>
  <c r="X21" i="29"/>
  <c r="X20" i="29"/>
  <c r="X19" i="29"/>
  <c r="X18" i="29"/>
  <c r="X17" i="29"/>
  <c r="X16" i="29"/>
  <c r="X15" i="29"/>
  <c r="X14" i="29"/>
  <c r="X13" i="29"/>
  <c r="X27" i="29" s="1"/>
  <c r="A2" i="29" a="1"/>
  <c r="A2" i="29" s="1"/>
  <c r="W27" i="28"/>
  <c r="V27" i="28"/>
  <c r="S27" i="28"/>
  <c r="R27" i="28"/>
  <c r="N27" i="28"/>
  <c r="M27" i="28"/>
  <c r="G27" i="28"/>
  <c r="B27" i="28"/>
  <c r="X26" i="28"/>
  <c r="X25" i="28"/>
  <c r="X24" i="28"/>
  <c r="X23" i="28"/>
  <c r="X22" i="28"/>
  <c r="X21" i="28"/>
  <c r="X20" i="28"/>
  <c r="X19" i="28"/>
  <c r="X18" i="28"/>
  <c r="X17" i="28"/>
  <c r="X16" i="28"/>
  <c r="X15" i="28"/>
  <c r="X14" i="28"/>
  <c r="X13" i="28"/>
  <c r="X27" i="28" s="1"/>
  <c r="A2" i="28" a="1"/>
  <c r="A2" i="28" s="1"/>
  <c r="W27" i="27"/>
  <c r="V27" i="27"/>
  <c r="S27" i="27"/>
  <c r="R27" i="27"/>
  <c r="N27" i="27"/>
  <c r="M27" i="27"/>
  <c r="G27" i="27"/>
  <c r="B27" i="27"/>
  <c r="X26" i="27"/>
  <c r="X25" i="27"/>
  <c r="X24" i="27"/>
  <c r="X23" i="27"/>
  <c r="X22" i="27"/>
  <c r="X21" i="27"/>
  <c r="X20" i="27"/>
  <c r="X19" i="27"/>
  <c r="X18" i="27"/>
  <c r="X17" i="27"/>
  <c r="X16" i="27"/>
  <c r="X15" i="27"/>
  <c r="X14" i="27"/>
  <c r="X13" i="27"/>
  <c r="X27" i="27" s="1"/>
  <c r="A2" i="27" a="1"/>
  <c r="A2" i="27" s="1"/>
  <c r="W27" i="26"/>
  <c r="V27" i="26"/>
  <c r="S27" i="26"/>
  <c r="R27" i="26"/>
  <c r="N27" i="26"/>
  <c r="M27" i="26"/>
  <c r="G27" i="26"/>
  <c r="B27" i="26"/>
  <c r="X26" i="26"/>
  <c r="X25" i="26"/>
  <c r="X24" i="26"/>
  <c r="X23" i="26"/>
  <c r="X22" i="26"/>
  <c r="X21" i="26"/>
  <c r="X20" i="26"/>
  <c r="X19" i="26"/>
  <c r="X18" i="26"/>
  <c r="X17" i="26"/>
  <c r="X16" i="26"/>
  <c r="X15" i="26"/>
  <c r="X14" i="26"/>
  <c r="X13" i="26"/>
  <c r="X27" i="26" s="1"/>
  <c r="A2" i="26" a="1"/>
  <c r="A2" i="26" s="1"/>
  <c r="L17" i="26" s="1"/>
  <c r="L17" i="36" l="1"/>
  <c r="Q16" i="36"/>
  <c r="L13" i="36"/>
  <c r="L16" i="36"/>
  <c r="Q15" i="36"/>
  <c r="L15" i="36"/>
  <c r="Q14" i="36"/>
  <c r="L18" i="36"/>
  <c r="Q17" i="36"/>
  <c r="L14" i="36"/>
  <c r="Q13" i="36"/>
  <c r="Q13" i="35"/>
  <c r="L14" i="35"/>
  <c r="Q17" i="35"/>
  <c r="L18" i="35"/>
  <c r="Q14" i="35"/>
  <c r="L15" i="35"/>
  <c r="Q15" i="35"/>
  <c r="L16" i="35"/>
  <c r="L13" i="35"/>
  <c r="Q16" i="35"/>
  <c r="Q13" i="34"/>
  <c r="L14" i="34"/>
  <c r="Q17" i="34"/>
  <c r="L18" i="34"/>
  <c r="Q14" i="34"/>
  <c r="L15" i="34"/>
  <c r="Q15" i="34"/>
  <c r="L16" i="34"/>
  <c r="L13" i="34"/>
  <c r="Q16" i="34"/>
  <c r="L13" i="33"/>
  <c r="Q13" i="33"/>
  <c r="L14" i="33"/>
  <c r="Q17" i="33"/>
  <c r="L18" i="33"/>
  <c r="Q14" i="33"/>
  <c r="L15" i="33"/>
  <c r="Q15" i="33"/>
  <c r="L16" i="33"/>
  <c r="Q16" i="33"/>
  <c r="L17" i="32"/>
  <c r="Q16" i="32"/>
  <c r="L13" i="32"/>
  <c r="L18" i="32"/>
  <c r="Q17" i="32"/>
  <c r="L14" i="32"/>
  <c r="Q13" i="32"/>
  <c r="L16" i="32"/>
  <c r="Q15" i="32"/>
  <c r="L15" i="32"/>
  <c r="Q14" i="32"/>
  <c r="L17" i="31"/>
  <c r="Q16" i="31"/>
  <c r="L13" i="31"/>
  <c r="L16" i="31"/>
  <c r="Q15" i="31"/>
  <c r="L15" i="31"/>
  <c r="Q14" i="31"/>
  <c r="L18" i="31"/>
  <c r="Q17" i="31"/>
  <c r="L14" i="31"/>
  <c r="Q13" i="31"/>
  <c r="Q13" i="30"/>
  <c r="L14" i="30"/>
  <c r="Q17" i="30"/>
  <c r="L18" i="30"/>
  <c r="Q14" i="30"/>
  <c r="L15" i="30"/>
  <c r="Q15" i="30"/>
  <c r="L16" i="30"/>
  <c r="L13" i="30"/>
  <c r="Q16" i="30"/>
  <c r="L17" i="29"/>
  <c r="Q16" i="29"/>
  <c r="L13" i="29"/>
  <c r="L16" i="29"/>
  <c r="Q15" i="29"/>
  <c r="Q17" i="29"/>
  <c r="L14" i="29"/>
  <c r="Q13" i="29"/>
  <c r="L15" i="29"/>
  <c r="Q14" i="29"/>
  <c r="L18" i="29"/>
  <c r="L17" i="28"/>
  <c r="Q16" i="28"/>
  <c r="L13" i="28"/>
  <c r="L15" i="28"/>
  <c r="Q14" i="28"/>
  <c r="L18" i="28"/>
  <c r="Q17" i="28"/>
  <c r="L16" i="28"/>
  <c r="Q15" i="28"/>
  <c r="L14" i="28"/>
  <c r="Q13" i="28"/>
  <c r="L17" i="27"/>
  <c r="Q16" i="27"/>
  <c r="L13" i="27"/>
  <c r="L16" i="27"/>
  <c r="Q15" i="27"/>
  <c r="L15" i="27"/>
  <c r="Q14" i="27"/>
  <c r="L18" i="27"/>
  <c r="Q17" i="27"/>
  <c r="L14" i="27"/>
  <c r="Q13" i="27"/>
  <c r="Q13" i="26"/>
  <c r="L14" i="26"/>
  <c r="Q17" i="26"/>
  <c r="L18" i="26"/>
  <c r="Q14" i="26"/>
  <c r="L15" i="26"/>
  <c r="Q15" i="26"/>
  <c r="L16" i="26"/>
  <c r="L13" i="26"/>
  <c r="Q16" i="26"/>
  <c r="C18" i="36" a="1"/>
  <c r="C14" i="36" a="1"/>
  <c r="H21" i="36" a="1"/>
  <c r="C7" i="36" a="1"/>
  <c r="H18" i="36" a="1"/>
  <c r="H14" i="36" a="1"/>
  <c r="H17" i="36" a="1"/>
  <c r="H13" i="36" a="1"/>
  <c r="H16" i="36" a="1"/>
  <c r="H20" i="36" a="1"/>
  <c r="C17" i="36" a="1"/>
  <c r="C13" i="36" a="1"/>
  <c r="C16" i="36" a="1"/>
  <c r="D7" i="36" a="1"/>
  <c r="B5" i="36" a="1"/>
  <c r="C15" i="36" a="1"/>
  <c r="H19" i="36" a="1"/>
  <c r="H15" i="36" a="1"/>
  <c r="B6" i="36" a="1"/>
  <c r="B7" i="36" a="1"/>
  <c r="B5" i="35" a="1"/>
  <c r="D7" i="35" a="1"/>
  <c r="C16" i="35" a="1"/>
  <c r="C13" i="35" a="1"/>
  <c r="C17" i="35" a="1"/>
  <c r="H20" i="35" a="1"/>
  <c r="H16" i="35" a="1"/>
  <c r="H13" i="35" a="1"/>
  <c r="H17" i="35" a="1"/>
  <c r="H14" i="35" a="1"/>
  <c r="H18" i="35" a="1"/>
  <c r="C7" i="35" a="1"/>
  <c r="H21" i="35" a="1"/>
  <c r="C14" i="35" a="1"/>
  <c r="C18" i="35" a="1"/>
  <c r="B7" i="35" a="1"/>
  <c r="B6" i="35" a="1"/>
  <c r="H15" i="35" a="1"/>
  <c r="H19" i="35" a="1"/>
  <c r="C15" i="35" a="1"/>
  <c r="B5" i="34" a="1"/>
  <c r="D7" i="34" a="1"/>
  <c r="C16" i="34" a="1"/>
  <c r="C13" i="34" a="1"/>
  <c r="C17" i="34" a="1"/>
  <c r="H20" i="34" a="1"/>
  <c r="H16" i="34" a="1"/>
  <c r="H13" i="34" a="1"/>
  <c r="H17" i="34" a="1"/>
  <c r="H14" i="34" a="1"/>
  <c r="H18" i="34" a="1"/>
  <c r="C7" i="34" a="1"/>
  <c r="H21" i="34" a="1"/>
  <c r="C14" i="34" a="1"/>
  <c r="C18" i="34" a="1"/>
  <c r="B7" i="34" a="1"/>
  <c r="B6" i="34" a="1"/>
  <c r="H15" i="34" a="1"/>
  <c r="H19" i="34" a="1"/>
  <c r="C15" i="34" a="1"/>
  <c r="B5" i="33" a="1"/>
  <c r="D7" i="33" a="1"/>
  <c r="C16" i="33" a="1"/>
  <c r="C13" i="33" a="1"/>
  <c r="C17" i="33" a="1"/>
  <c r="H20" i="33" a="1"/>
  <c r="H13" i="33" a="1"/>
  <c r="H17" i="33" a="1"/>
  <c r="H14" i="33" a="1"/>
  <c r="H18" i="33" a="1"/>
  <c r="C7" i="33" a="1"/>
  <c r="H21" i="33" a="1"/>
  <c r="C14" i="33" a="1"/>
  <c r="C18" i="33" a="1"/>
  <c r="C15" i="33" a="1"/>
  <c r="B7" i="33" a="1"/>
  <c r="B6" i="33" a="1"/>
  <c r="H15" i="33" a="1"/>
  <c r="H19" i="33" a="1"/>
  <c r="H16" i="33" a="1"/>
  <c r="B7" i="32" a="1"/>
  <c r="H19" i="32" a="1"/>
  <c r="H15" i="32" a="1"/>
  <c r="B6" i="32" a="1"/>
  <c r="D7" i="32" a="1"/>
  <c r="C15" i="32" a="1"/>
  <c r="C13" i="32" a="1"/>
  <c r="H20" i="32" a="1"/>
  <c r="H13" i="32" a="1"/>
  <c r="H18" i="32" a="1"/>
  <c r="C18" i="32" a="1"/>
  <c r="C14" i="32" a="1"/>
  <c r="H17" i="32" a="1"/>
  <c r="H16" i="32" a="1"/>
  <c r="H14" i="32" a="1"/>
  <c r="H21" i="32" a="1"/>
  <c r="C7" i="32" a="1"/>
  <c r="C17" i="32" a="1"/>
  <c r="C16" i="32" a="1"/>
  <c r="B5" i="32" a="1"/>
  <c r="C18" i="31" a="1"/>
  <c r="C14" i="31" a="1"/>
  <c r="H21" i="31" a="1"/>
  <c r="C7" i="31" a="1"/>
  <c r="H18" i="31" a="1"/>
  <c r="H14" i="31" a="1"/>
  <c r="H17" i="31" a="1"/>
  <c r="H13" i="31" a="1"/>
  <c r="H16" i="31" a="1"/>
  <c r="H20" i="31" a="1"/>
  <c r="C17" i="31" a="1"/>
  <c r="C13" i="31" a="1"/>
  <c r="C16" i="31" a="1"/>
  <c r="D7" i="31" a="1"/>
  <c r="B5" i="31" a="1"/>
  <c r="C15" i="31" a="1"/>
  <c r="H19" i="31" a="1"/>
  <c r="H15" i="31" a="1"/>
  <c r="B6" i="31" a="1"/>
  <c r="B7" i="31" a="1"/>
  <c r="B5" i="30" a="1"/>
  <c r="D7" i="30" a="1"/>
  <c r="C16" i="30" a="1"/>
  <c r="C13" i="30" a="1"/>
  <c r="C17" i="30" a="1"/>
  <c r="H20" i="30" a="1"/>
  <c r="H16" i="30" a="1"/>
  <c r="H13" i="30" a="1"/>
  <c r="H17" i="30" a="1"/>
  <c r="H14" i="30" a="1"/>
  <c r="H18" i="30" a="1"/>
  <c r="C7" i="30" a="1"/>
  <c r="H21" i="30" a="1"/>
  <c r="C14" i="30" a="1"/>
  <c r="C18" i="30" a="1"/>
  <c r="B7" i="30" a="1"/>
  <c r="B6" i="30" a="1"/>
  <c r="H15" i="30" a="1"/>
  <c r="H19" i="30" a="1"/>
  <c r="C15" i="30" a="1"/>
  <c r="C18" i="29" a="1"/>
  <c r="C14" i="29" a="1"/>
  <c r="C17" i="29" a="1"/>
  <c r="C13" i="29" a="1"/>
  <c r="D7" i="29" a="1"/>
  <c r="H21" i="29" a="1"/>
  <c r="C7" i="29" a="1"/>
  <c r="B7" i="29" a="1"/>
  <c r="H16" i="29" a="1"/>
  <c r="H20" i="29" a="1"/>
  <c r="C16" i="29" a="1"/>
  <c r="H17" i="29" a="1"/>
  <c r="B5" i="29" a="1"/>
  <c r="C15" i="29" a="1"/>
  <c r="H19" i="29" a="1"/>
  <c r="H15" i="29" a="1"/>
  <c r="B6" i="29" a="1"/>
  <c r="H18" i="29" a="1"/>
  <c r="H14" i="29" a="1"/>
  <c r="H13" i="29" a="1"/>
  <c r="B7" i="28" a="1"/>
  <c r="H19" i="28" a="1"/>
  <c r="H15" i="28" a="1"/>
  <c r="B6" i="28" a="1"/>
  <c r="C13" i="28" a="1"/>
  <c r="D7" i="28" a="1"/>
  <c r="H16" i="28" a="1"/>
  <c r="C16" i="28" a="1"/>
  <c r="H21" i="28" a="1"/>
  <c r="B5" i="28" a="1"/>
  <c r="H13" i="28" a="1"/>
  <c r="H18" i="28" a="1"/>
  <c r="C18" i="28" a="1"/>
  <c r="C14" i="28" a="1"/>
  <c r="H17" i="28" a="1"/>
  <c r="C7" i="28" a="1"/>
  <c r="C17" i="28" a="1"/>
  <c r="C15" i="28" a="1"/>
  <c r="H20" i="28" a="1"/>
  <c r="H14" i="28" a="1"/>
  <c r="C18" i="27" a="1"/>
  <c r="C14" i="27" a="1"/>
  <c r="B7" i="27" a="1"/>
  <c r="H21" i="27" a="1"/>
  <c r="C7" i="27" a="1"/>
  <c r="H18" i="27" a="1"/>
  <c r="H14" i="27" a="1"/>
  <c r="H17" i="27" a="1"/>
  <c r="H13" i="27" a="1"/>
  <c r="H16" i="27" a="1"/>
  <c r="H20" i="27" a="1"/>
  <c r="C17" i="27" a="1"/>
  <c r="C13" i="27" a="1"/>
  <c r="C16" i="27" a="1"/>
  <c r="D7" i="27" a="1"/>
  <c r="B5" i="27" a="1"/>
  <c r="C15" i="27" a="1"/>
  <c r="H19" i="27" a="1"/>
  <c r="H15" i="27" a="1"/>
  <c r="B6" i="27" a="1"/>
  <c r="C13" i="26" a="1"/>
  <c r="B7" i="26" a="1"/>
  <c r="C17" i="26" a="1"/>
  <c r="H20" i="26" a="1"/>
  <c r="H16" i="26" a="1"/>
  <c r="B5" i="26" a="1"/>
  <c r="D7" i="26" a="1"/>
  <c r="C16" i="26" a="1"/>
  <c r="H14" i="26" a="1"/>
  <c r="H18" i="26" a="1"/>
  <c r="C7" i="26" a="1"/>
  <c r="H21" i="26" a="1"/>
  <c r="H13" i="26" a="1"/>
  <c r="H17" i="26" a="1"/>
  <c r="C14" i="26" a="1"/>
  <c r="C18" i="26" a="1"/>
  <c r="B6" i="26" a="1"/>
  <c r="H15" i="26" a="1"/>
  <c r="H19" i="26" a="1"/>
  <c r="C15" i="26" a="1"/>
  <c r="B7" i="36" l="1"/>
  <c r="B6" i="36"/>
  <c r="H15" i="36"/>
  <c r="I15" i="36" s="1"/>
  <c r="H19" i="36"/>
  <c r="I19" i="36" s="1"/>
  <c r="C15" i="36"/>
  <c r="D15" i="36" s="1"/>
  <c r="B5" i="36"/>
  <c r="D7" i="36"/>
  <c r="C16" i="36"/>
  <c r="D16" i="36" s="1"/>
  <c r="C13" i="36"/>
  <c r="C17" i="36"/>
  <c r="D17" i="36" s="1"/>
  <c r="H20" i="36"/>
  <c r="I20" i="36" s="1"/>
  <c r="H16" i="36"/>
  <c r="I16" i="36" s="1"/>
  <c r="H13" i="36"/>
  <c r="H17" i="36"/>
  <c r="I17" i="36" s="1"/>
  <c r="H14" i="36"/>
  <c r="I14" i="36" s="1"/>
  <c r="H18" i="36"/>
  <c r="I18" i="36" s="1"/>
  <c r="C7" i="36"/>
  <c r="H21" i="36"/>
  <c r="I21" i="36" s="1"/>
  <c r="C14" i="36"/>
  <c r="D14" i="36" s="1"/>
  <c r="C18" i="36"/>
  <c r="D18" i="36" s="1"/>
  <c r="C15" i="35"/>
  <c r="D15" i="35" s="1"/>
  <c r="H19" i="35"/>
  <c r="I19" i="35" s="1"/>
  <c r="H15" i="35"/>
  <c r="I15" i="35" s="1"/>
  <c r="B6" i="35"/>
  <c r="B7" i="35"/>
  <c r="C18" i="35"/>
  <c r="D18" i="35" s="1"/>
  <c r="C14" i="35"/>
  <c r="D14" i="35" s="1"/>
  <c r="H21" i="35"/>
  <c r="I21" i="35" s="1"/>
  <c r="C7" i="35"/>
  <c r="H18" i="35"/>
  <c r="I18" i="35" s="1"/>
  <c r="H14" i="35"/>
  <c r="I14" i="35" s="1"/>
  <c r="H17" i="35"/>
  <c r="I17" i="35" s="1"/>
  <c r="H13" i="35"/>
  <c r="H16" i="35"/>
  <c r="I16" i="35" s="1"/>
  <c r="H20" i="35"/>
  <c r="I20" i="35" s="1"/>
  <c r="C17" i="35"/>
  <c r="D17" i="35" s="1"/>
  <c r="C13" i="35"/>
  <c r="C16" i="35"/>
  <c r="D16" i="35" s="1"/>
  <c r="D7" i="35"/>
  <c r="B5" i="35"/>
  <c r="C15" i="34"/>
  <c r="D15" i="34" s="1"/>
  <c r="H19" i="34"/>
  <c r="I19" i="34" s="1"/>
  <c r="H15" i="34"/>
  <c r="I15" i="34" s="1"/>
  <c r="B6" i="34"/>
  <c r="B7" i="34"/>
  <c r="C18" i="34"/>
  <c r="D18" i="34" s="1"/>
  <c r="C14" i="34"/>
  <c r="D14" i="34" s="1"/>
  <c r="H21" i="34"/>
  <c r="I21" i="34" s="1"/>
  <c r="C7" i="34"/>
  <c r="H18" i="34"/>
  <c r="I18" i="34" s="1"/>
  <c r="H14" i="34"/>
  <c r="I14" i="34" s="1"/>
  <c r="H17" i="34"/>
  <c r="I17" i="34" s="1"/>
  <c r="H13" i="34"/>
  <c r="H16" i="34"/>
  <c r="I16" i="34" s="1"/>
  <c r="H20" i="34"/>
  <c r="I20" i="34" s="1"/>
  <c r="C17" i="34"/>
  <c r="D17" i="34" s="1"/>
  <c r="C13" i="34"/>
  <c r="C16" i="34"/>
  <c r="D16" i="34" s="1"/>
  <c r="D7" i="34"/>
  <c r="B5" i="34"/>
  <c r="H16" i="33"/>
  <c r="I16" i="33" s="1"/>
  <c r="H19" i="33"/>
  <c r="I19" i="33" s="1"/>
  <c r="H15" i="33"/>
  <c r="I15" i="33" s="1"/>
  <c r="B6" i="33"/>
  <c r="B7" i="33"/>
  <c r="C15" i="33"/>
  <c r="D15" i="33" s="1"/>
  <c r="C18" i="33"/>
  <c r="D18" i="33" s="1"/>
  <c r="C14" i="33"/>
  <c r="D14" i="33" s="1"/>
  <c r="H21" i="33"/>
  <c r="I21" i="33" s="1"/>
  <c r="C7" i="33"/>
  <c r="H18" i="33"/>
  <c r="I18" i="33" s="1"/>
  <c r="H14" i="33"/>
  <c r="I14" i="33" s="1"/>
  <c r="H17" i="33"/>
  <c r="I17" i="33" s="1"/>
  <c r="H13" i="33"/>
  <c r="H20" i="33"/>
  <c r="I20" i="33" s="1"/>
  <c r="C17" i="33"/>
  <c r="D17" i="33" s="1"/>
  <c r="C13" i="33"/>
  <c r="C16" i="33"/>
  <c r="D16" i="33" s="1"/>
  <c r="D7" i="33"/>
  <c r="B5" i="33"/>
  <c r="B5" i="32"/>
  <c r="C16" i="32"/>
  <c r="D16" i="32" s="1"/>
  <c r="C17" i="32"/>
  <c r="D17" i="32" s="1"/>
  <c r="C7" i="32"/>
  <c r="H21" i="32"/>
  <c r="I21" i="32" s="1"/>
  <c r="H14" i="32"/>
  <c r="I14" i="32" s="1"/>
  <c r="H16" i="32"/>
  <c r="I16" i="32" s="1"/>
  <c r="H17" i="32"/>
  <c r="I17" i="32" s="1"/>
  <c r="C14" i="32"/>
  <c r="D14" i="32" s="1"/>
  <c r="C18" i="32"/>
  <c r="D18" i="32" s="1"/>
  <c r="H18" i="32"/>
  <c r="I18" i="32" s="1"/>
  <c r="H13" i="32"/>
  <c r="H20" i="32"/>
  <c r="I20" i="32" s="1"/>
  <c r="C13" i="32"/>
  <c r="C15" i="32"/>
  <c r="D15" i="32" s="1"/>
  <c r="D7" i="32"/>
  <c r="B6" i="32"/>
  <c r="H15" i="32"/>
  <c r="I15" i="32" s="1"/>
  <c r="H19" i="32"/>
  <c r="I19" i="32" s="1"/>
  <c r="B7" i="32"/>
  <c r="B7" i="31"/>
  <c r="B6" i="31"/>
  <c r="H15" i="31"/>
  <c r="I15" i="31" s="1"/>
  <c r="H19" i="31"/>
  <c r="I19" i="31" s="1"/>
  <c r="C15" i="31"/>
  <c r="D15" i="31" s="1"/>
  <c r="B5" i="31"/>
  <c r="D7" i="31"/>
  <c r="C16" i="31"/>
  <c r="D16" i="31" s="1"/>
  <c r="C13" i="31"/>
  <c r="C17" i="31"/>
  <c r="D17" i="31" s="1"/>
  <c r="H20" i="31"/>
  <c r="I20" i="31" s="1"/>
  <c r="H16" i="31"/>
  <c r="I16" i="31" s="1"/>
  <c r="H13" i="31"/>
  <c r="H17" i="31"/>
  <c r="I17" i="31" s="1"/>
  <c r="H14" i="31"/>
  <c r="I14" i="31" s="1"/>
  <c r="H18" i="31"/>
  <c r="I18" i="31" s="1"/>
  <c r="C7" i="31"/>
  <c r="H21" i="31"/>
  <c r="I21" i="31" s="1"/>
  <c r="C14" i="31"/>
  <c r="D14" i="31" s="1"/>
  <c r="C18" i="31"/>
  <c r="D18" i="31" s="1"/>
  <c r="C15" i="30"/>
  <c r="D15" i="30" s="1"/>
  <c r="H19" i="30"/>
  <c r="I19" i="30" s="1"/>
  <c r="H15" i="30"/>
  <c r="I15" i="30" s="1"/>
  <c r="B6" i="30"/>
  <c r="B7" i="30"/>
  <c r="C18" i="30"/>
  <c r="D18" i="30" s="1"/>
  <c r="C14" i="30"/>
  <c r="D14" i="30" s="1"/>
  <c r="H21" i="30"/>
  <c r="I21" i="30" s="1"/>
  <c r="C7" i="30"/>
  <c r="H18" i="30"/>
  <c r="I18" i="30" s="1"/>
  <c r="H14" i="30"/>
  <c r="I14" i="30" s="1"/>
  <c r="H17" i="30"/>
  <c r="I17" i="30" s="1"/>
  <c r="H13" i="30"/>
  <c r="H16" i="30"/>
  <c r="I16" i="30" s="1"/>
  <c r="H20" i="30"/>
  <c r="I20" i="30" s="1"/>
  <c r="C17" i="30"/>
  <c r="D17" i="30" s="1"/>
  <c r="C13" i="30"/>
  <c r="C16" i="30"/>
  <c r="D16" i="30" s="1"/>
  <c r="D7" i="30"/>
  <c r="B5" i="30"/>
  <c r="H13" i="29"/>
  <c r="H14" i="29"/>
  <c r="I14" i="29" s="1"/>
  <c r="H18" i="29"/>
  <c r="I18" i="29" s="1"/>
  <c r="B6" i="29"/>
  <c r="H15" i="29"/>
  <c r="I15" i="29" s="1"/>
  <c r="H19" i="29"/>
  <c r="I19" i="29" s="1"/>
  <c r="C15" i="29"/>
  <c r="D15" i="29" s="1"/>
  <c r="B5" i="29"/>
  <c r="H17" i="29"/>
  <c r="I17" i="29" s="1"/>
  <c r="C16" i="29"/>
  <c r="D16" i="29" s="1"/>
  <c r="H20" i="29"/>
  <c r="I20" i="29" s="1"/>
  <c r="H16" i="29"/>
  <c r="I16" i="29" s="1"/>
  <c r="B7" i="29"/>
  <c r="C7" i="29"/>
  <c r="H21" i="29"/>
  <c r="I21" i="29" s="1"/>
  <c r="D7" i="29"/>
  <c r="C13" i="29"/>
  <c r="C17" i="29"/>
  <c r="D17" i="29" s="1"/>
  <c r="C14" i="29"/>
  <c r="D14" i="29" s="1"/>
  <c r="C18" i="29"/>
  <c r="D18" i="29" s="1"/>
  <c r="H14" i="28"/>
  <c r="I14" i="28" s="1"/>
  <c r="H20" i="28"/>
  <c r="I20" i="28" s="1"/>
  <c r="C15" i="28"/>
  <c r="D15" i="28" s="1"/>
  <c r="C17" i="28"/>
  <c r="D17" i="28" s="1"/>
  <c r="C7" i="28"/>
  <c r="H17" i="28"/>
  <c r="I17" i="28" s="1"/>
  <c r="C14" i="28"/>
  <c r="D14" i="28" s="1"/>
  <c r="C18" i="28"/>
  <c r="D18" i="28" s="1"/>
  <c r="H18" i="28"/>
  <c r="I18" i="28" s="1"/>
  <c r="H13" i="28"/>
  <c r="B5" i="28"/>
  <c r="H21" i="28"/>
  <c r="I21" i="28" s="1"/>
  <c r="C16" i="28"/>
  <c r="D16" i="28" s="1"/>
  <c r="H16" i="28"/>
  <c r="I16" i="28" s="1"/>
  <c r="D7" i="28"/>
  <c r="C13" i="28"/>
  <c r="B6" i="28"/>
  <c r="H15" i="28"/>
  <c r="I15" i="28" s="1"/>
  <c r="H19" i="28"/>
  <c r="I19" i="28" s="1"/>
  <c r="B7" i="28"/>
  <c r="B6" i="27"/>
  <c r="H15" i="27"/>
  <c r="I15" i="27" s="1"/>
  <c r="H19" i="27"/>
  <c r="I19" i="27" s="1"/>
  <c r="C15" i="27"/>
  <c r="D15" i="27" s="1"/>
  <c r="B5" i="27"/>
  <c r="D7" i="27"/>
  <c r="C16" i="27"/>
  <c r="D16" i="27" s="1"/>
  <c r="C13" i="27"/>
  <c r="C17" i="27"/>
  <c r="D17" i="27" s="1"/>
  <c r="H20" i="27"/>
  <c r="I20" i="27" s="1"/>
  <c r="H16" i="27"/>
  <c r="I16" i="27" s="1"/>
  <c r="H13" i="27"/>
  <c r="H17" i="27"/>
  <c r="I17" i="27" s="1"/>
  <c r="H14" i="27"/>
  <c r="I14" i="27" s="1"/>
  <c r="H18" i="27"/>
  <c r="I18" i="27" s="1"/>
  <c r="C7" i="27"/>
  <c r="H21" i="27"/>
  <c r="I21" i="27" s="1"/>
  <c r="B7" i="27"/>
  <c r="C14" i="27"/>
  <c r="D14" i="27" s="1"/>
  <c r="C18" i="27"/>
  <c r="D18" i="27" s="1"/>
  <c r="C13" i="26"/>
  <c r="D13" i="26" s="1"/>
  <c r="C15" i="26"/>
  <c r="D15" i="26" s="1"/>
  <c r="H19" i="26"/>
  <c r="I19" i="26" s="1"/>
  <c r="H15" i="26"/>
  <c r="I15" i="26" s="1"/>
  <c r="B6" i="26"/>
  <c r="C18" i="26"/>
  <c r="D18" i="26" s="1"/>
  <c r="C14" i="26"/>
  <c r="D14" i="26" s="1"/>
  <c r="H17" i="26"/>
  <c r="I17" i="26" s="1"/>
  <c r="H13" i="26"/>
  <c r="H21" i="26"/>
  <c r="I21" i="26" s="1"/>
  <c r="C7" i="26"/>
  <c r="H18" i="26"/>
  <c r="I18" i="26" s="1"/>
  <c r="H14" i="26"/>
  <c r="I14" i="26" s="1"/>
  <c r="C16" i="26"/>
  <c r="D16" i="26" s="1"/>
  <c r="D7" i="26"/>
  <c r="B5" i="26"/>
  <c r="H16" i="26"/>
  <c r="I16" i="26" s="1"/>
  <c r="H20" i="26"/>
  <c r="I20" i="26" s="1"/>
  <c r="C17" i="26"/>
  <c r="D17" i="26" s="1"/>
  <c r="B7" i="26"/>
  <c r="B9" i="36" l="1"/>
  <c r="H27" i="36"/>
  <c r="I13" i="36"/>
  <c r="I27" i="36" s="1"/>
  <c r="D13" i="36"/>
  <c r="D27" i="36" s="1"/>
  <c r="C27" i="36"/>
  <c r="D13" i="35"/>
  <c r="D27" i="35" s="1"/>
  <c r="C27" i="35"/>
  <c r="B9" i="35"/>
  <c r="H27" i="35"/>
  <c r="I13" i="35"/>
  <c r="I27" i="35" s="1"/>
  <c r="B9" i="34"/>
  <c r="H27" i="34"/>
  <c r="I13" i="34"/>
  <c r="I27" i="34" s="1"/>
  <c r="D13" i="34"/>
  <c r="D27" i="34" s="1"/>
  <c r="C27" i="34"/>
  <c r="B9" i="33"/>
  <c r="H27" i="33"/>
  <c r="I13" i="33"/>
  <c r="I27" i="33" s="1"/>
  <c r="D13" i="33"/>
  <c r="D27" i="33" s="1"/>
  <c r="C27" i="33"/>
  <c r="D13" i="32"/>
  <c r="D27" i="32" s="1"/>
  <c r="C27" i="32"/>
  <c r="H27" i="32"/>
  <c r="I13" i="32"/>
  <c r="I27" i="32" s="1"/>
  <c r="B9" i="32"/>
  <c r="B9" i="31"/>
  <c r="H27" i="31"/>
  <c r="I13" i="31"/>
  <c r="I27" i="31" s="1"/>
  <c r="D13" i="31"/>
  <c r="D27" i="31" s="1"/>
  <c r="C27" i="31"/>
  <c r="B9" i="30"/>
  <c r="H27" i="30"/>
  <c r="I13" i="30"/>
  <c r="I27" i="30" s="1"/>
  <c r="D13" i="30"/>
  <c r="D27" i="30" s="1"/>
  <c r="C27" i="30"/>
  <c r="D13" i="29"/>
  <c r="D27" i="29" s="1"/>
  <c r="C27" i="29"/>
  <c r="B9" i="29"/>
  <c r="H27" i="29"/>
  <c r="I13" i="29"/>
  <c r="I27" i="29" s="1"/>
  <c r="D13" i="28"/>
  <c r="D27" i="28" s="1"/>
  <c r="C27" i="28"/>
  <c r="B9" i="28"/>
  <c r="H27" i="28"/>
  <c r="I13" i="28"/>
  <c r="I27" i="28" s="1"/>
  <c r="B9" i="27"/>
  <c r="D13" i="27"/>
  <c r="D27" i="27" s="1"/>
  <c r="C27" i="27"/>
  <c r="H27" i="27"/>
  <c r="I13" i="27"/>
  <c r="I27" i="27" s="1"/>
  <c r="D27" i="26"/>
  <c r="C27" i="26"/>
  <c r="B9" i="26"/>
  <c r="H27" i="26"/>
  <c r="I13" i="26"/>
  <c r="I27" i="26" s="1"/>
  <c r="D6" i="36" a="1"/>
  <c r="D5" i="36" a="1"/>
  <c r="C5" i="36" a="1"/>
  <c r="C6" i="36" a="1"/>
  <c r="D5" i="35" a="1"/>
  <c r="C5" i="35" a="1"/>
  <c r="C6" i="35" a="1"/>
  <c r="D6" i="35" a="1"/>
  <c r="D6" i="34" a="1"/>
  <c r="D5" i="34" a="1"/>
  <c r="C5" i="34" a="1"/>
  <c r="C6" i="34" a="1"/>
  <c r="D6" i="33" a="1"/>
  <c r="D5" i="33" a="1"/>
  <c r="C5" i="33" a="1"/>
  <c r="C6" i="33" a="1"/>
  <c r="D5" i="32" a="1"/>
  <c r="D6" i="32" a="1"/>
  <c r="C5" i="32" a="1"/>
  <c r="C6" i="32" a="1"/>
  <c r="D6" i="31" a="1"/>
  <c r="D5" i="31" a="1"/>
  <c r="C5" i="31" a="1"/>
  <c r="C6" i="31" a="1"/>
  <c r="D6" i="30" a="1"/>
  <c r="C6" i="30" a="1"/>
  <c r="D5" i="30" a="1"/>
  <c r="C5" i="30" a="1"/>
  <c r="D5" i="29" a="1"/>
  <c r="C6" i="29" a="1"/>
  <c r="C5" i="29" a="1"/>
  <c r="D6" i="29" a="1"/>
  <c r="C6" i="28" a="1"/>
  <c r="D5" i="28" a="1"/>
  <c r="D6" i="28" a="1"/>
  <c r="C5" i="28" a="1"/>
  <c r="C6" i="27" a="1"/>
  <c r="D5" i="27" a="1"/>
  <c r="D6" i="27" a="1"/>
  <c r="C5" i="27" a="1"/>
  <c r="D5" i="26" a="1"/>
  <c r="C6" i="26" a="1"/>
  <c r="C5" i="26" a="1"/>
  <c r="D6" i="26" a="1"/>
  <c r="C6" i="36" l="1"/>
  <c r="C5" i="36"/>
  <c r="C9" i="36" s="1"/>
  <c r="D5" i="36"/>
  <c r="D6" i="36"/>
  <c r="D6" i="35"/>
  <c r="C6" i="35"/>
  <c r="C5" i="35"/>
  <c r="D5" i="35"/>
  <c r="C6" i="34"/>
  <c r="C5" i="34"/>
  <c r="D5" i="34"/>
  <c r="D6" i="34"/>
  <c r="C6" i="33"/>
  <c r="C5" i="33"/>
  <c r="D5" i="33"/>
  <c r="D6" i="33"/>
  <c r="C6" i="32"/>
  <c r="C5" i="32"/>
  <c r="D6" i="32"/>
  <c r="D5" i="32"/>
  <c r="C6" i="31"/>
  <c r="C5" i="31"/>
  <c r="D5" i="31"/>
  <c r="D6" i="31"/>
  <c r="C5" i="30"/>
  <c r="D5" i="30"/>
  <c r="C6" i="30"/>
  <c r="D6" i="30"/>
  <c r="D6" i="29"/>
  <c r="C5" i="29"/>
  <c r="C6" i="29"/>
  <c r="D5" i="29"/>
  <c r="C5" i="28"/>
  <c r="D6" i="28"/>
  <c r="D5" i="28"/>
  <c r="C6" i="28"/>
  <c r="C5" i="27"/>
  <c r="D6" i="27"/>
  <c r="D5" i="27"/>
  <c r="C6" i="27"/>
  <c r="D6" i="26"/>
  <c r="C5" i="26"/>
  <c r="C6" i="26"/>
  <c r="D5" i="26"/>
  <c r="D9" i="36" l="1"/>
  <c r="D9" i="35"/>
  <c r="C9" i="35"/>
  <c r="D9" i="34"/>
  <c r="C9" i="34"/>
  <c r="C9" i="32"/>
  <c r="C9" i="33"/>
  <c r="D9" i="33"/>
  <c r="D9" i="29"/>
  <c r="D9" i="32"/>
  <c r="C9" i="31"/>
  <c r="D9" i="31"/>
  <c r="D9" i="30"/>
  <c r="C9" i="30"/>
  <c r="C9" i="29"/>
  <c r="D9" i="27"/>
  <c r="D9" i="28"/>
  <c r="C9" i="28"/>
  <c r="C9" i="27"/>
  <c r="D9" i="26"/>
  <c r="C9" i="26"/>
  <c r="X27" i="1" l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W27" i="1"/>
  <c r="V27" i="1"/>
  <c r="R27" i="1"/>
  <c r="S27" i="1"/>
  <c r="M27" i="1"/>
  <c r="N27" i="1"/>
  <c r="G27" i="1"/>
  <c r="B27" i="1"/>
  <c r="A2" i="1" l="1" a="1"/>
  <c r="A2" i="1" s="1"/>
  <c r="B5" i="1" a="1"/>
  <c r="B5" i="1" l="1"/>
  <c r="Q17" i="1"/>
  <c r="Q16" i="1"/>
  <c r="Q15" i="1"/>
  <c r="Q14" i="1"/>
  <c r="Q13" i="1"/>
  <c r="L18" i="1"/>
  <c r="L14" i="1"/>
  <c r="L17" i="1"/>
  <c r="L13" i="1"/>
  <c r="L15" i="1"/>
  <c r="L16" i="1"/>
  <c r="D7" i="1" a="1"/>
  <c r="C7" i="1" a="1"/>
  <c r="B6" i="1" a="1"/>
  <c r="B7" i="1" a="1"/>
  <c r="C13" i="1" a="1"/>
  <c r="C15" i="1" a="1"/>
  <c r="H17" i="1" a="1"/>
  <c r="H14" i="1" a="1"/>
  <c r="H13" i="1" a="1"/>
  <c r="H18" i="1" a="1"/>
  <c r="C14" i="1" a="1"/>
  <c r="C17" i="1" a="1"/>
  <c r="C16" i="1" a="1"/>
  <c r="H20" i="1" a="1"/>
  <c r="H15" i="1" a="1"/>
  <c r="C18" i="1" a="1"/>
  <c r="H19" i="1" a="1"/>
  <c r="H16" i="1" a="1"/>
  <c r="H21" i="1" a="1"/>
  <c r="D7" i="1" l="1"/>
  <c r="C7" i="1"/>
  <c r="B7" i="1"/>
  <c r="B6" i="1"/>
  <c r="C13" i="1"/>
  <c r="H13" i="1"/>
  <c r="H21" i="1"/>
  <c r="I21" i="1" s="1"/>
  <c r="H17" i="1"/>
  <c r="I17" i="1" s="1"/>
  <c r="H18" i="1"/>
  <c r="I18" i="1" s="1"/>
  <c r="H16" i="1"/>
  <c r="I16" i="1" s="1"/>
  <c r="H20" i="1"/>
  <c r="I20" i="1" s="1"/>
  <c r="H15" i="1"/>
  <c r="I15" i="1" s="1"/>
  <c r="H19" i="1"/>
  <c r="I19" i="1" s="1"/>
  <c r="H14" i="1"/>
  <c r="I14" i="1" s="1"/>
  <c r="C15" i="1"/>
  <c r="D15" i="1" s="1"/>
  <c r="C18" i="1"/>
  <c r="D18" i="1" s="1"/>
  <c r="C16" i="1"/>
  <c r="D16" i="1" s="1"/>
  <c r="C17" i="1"/>
  <c r="D17" i="1" s="1"/>
  <c r="C14" i="1"/>
  <c r="D14" i="1" s="1"/>
  <c r="C27" i="1" l="1"/>
  <c r="I13" i="1"/>
  <c r="I27" i="1" s="1"/>
  <c r="H27" i="1"/>
  <c r="D13" i="1"/>
  <c r="D27" i="1" s="1"/>
  <c r="B9" i="1"/>
  <c r="D6" i="1" a="1"/>
  <c r="C6" i="1" a="1"/>
  <c r="D5" i="1" a="1"/>
  <c r="C5" i="1" a="1"/>
  <c r="D6" i="1" l="1"/>
  <c r="C6" i="1"/>
  <c r="D5" i="1"/>
  <c r="C5" i="1"/>
  <c r="D9" i="1" l="1"/>
  <c r="C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<sst xmlns="http://schemas.openxmlformats.org/spreadsheetml/2006/main" count="804" uniqueCount="47">
  <si>
    <t>Incomes</t>
  </si>
  <si>
    <t>Expenses</t>
  </si>
  <si>
    <t>Bills</t>
  </si>
  <si>
    <t>Subscriptions</t>
  </si>
  <si>
    <t>Savings</t>
  </si>
  <si>
    <t>Source</t>
  </si>
  <si>
    <t>Planned</t>
  </si>
  <si>
    <t>Actual</t>
  </si>
  <si>
    <t>Category</t>
  </si>
  <si>
    <t>Bill</t>
  </si>
  <si>
    <t>Service</t>
  </si>
  <si>
    <t>Aim</t>
  </si>
  <si>
    <t>Allowance</t>
  </si>
  <si>
    <t>Rent</t>
  </si>
  <si>
    <t>Netflix</t>
  </si>
  <si>
    <t>Scholarship</t>
  </si>
  <si>
    <t>Groceries</t>
  </si>
  <si>
    <t>Electricity</t>
  </si>
  <si>
    <t>Spotify</t>
  </si>
  <si>
    <t>Gas</t>
  </si>
  <si>
    <t>Water</t>
  </si>
  <si>
    <t>ChatGPT</t>
  </si>
  <si>
    <t>Waste</t>
  </si>
  <si>
    <t>Entertainment</t>
  </si>
  <si>
    <t>Internet</t>
  </si>
  <si>
    <t>Month</t>
  </si>
  <si>
    <t>Left</t>
  </si>
  <si>
    <t>Balance</t>
  </si>
  <si>
    <t>Financial</t>
  </si>
  <si>
    <t>Gift</t>
  </si>
  <si>
    <t>Salary</t>
  </si>
  <si>
    <t>Clothing</t>
  </si>
  <si>
    <t>Health&amp;Beauty</t>
  </si>
  <si>
    <t>Multimedia</t>
  </si>
  <si>
    <t>Studies</t>
  </si>
  <si>
    <t>Transportation</t>
  </si>
  <si>
    <t>Bookbeat</t>
  </si>
  <si>
    <t>Duolingo</t>
  </si>
  <si>
    <t>Laptop</t>
  </si>
  <si>
    <t>Summer holidays</t>
  </si>
  <si>
    <t>Other incoms</t>
  </si>
  <si>
    <t>Accomodation</t>
  </si>
  <si>
    <t>Other expences</t>
  </si>
  <si>
    <t>Rainy day</t>
  </si>
  <si>
    <t>Due</t>
  </si>
  <si>
    <t>Total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</si>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</sst>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&quot;zł&quot;_-;\-* #,##0.00\ &quot;zł&quot;_-;_-* &quot;-&quot;??\ &quot;zł&quot;_-;_-@_-"/>
    <numFmt numFmtId="165" formatCode="_-* #,##0.00\ [$zł-415]_-;\-* #,##0.00\ [$zł-415]_-;_-* &quot;-&quot;??\ [$zł-415]_-;_-@_-"/>
  </numFmts>
  <fonts count="7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4"/>
      <color theme="1"/>
      <name val="Comic Sans MS"/>
      <family val="4"/>
      <charset val="238"/>
    </font>
    <font>
      <sz val="14"/>
      <color theme="7" tint="0.79998168889431442"/>
      <name val="Comic Sans MS"/>
      <family val="4"/>
      <charset val="238"/>
    </font>
    <font>
      <sz val="14"/>
      <color theme="0"/>
      <name val="Comic Sans MS"/>
      <family val="4"/>
      <charset val="238"/>
    </font>
    <font>
      <sz val="14"/>
      <color rgb="FFFF0000"/>
      <name val="Comic Sans MS"/>
      <family val="4"/>
      <charset val="238"/>
    </font>
    <font>
      <b/>
      <sz val="14"/>
      <color theme="0"/>
      <name val="Comic Sans MS"/>
      <family val="4"/>
      <charset val="238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6">
    <xf numFmtId="0" fontId="0" fillId="0" borderId="0" xfId="0"/>
    <xf numFmtId="0" fontId="2" fillId="0" borderId="0" xfId="0" applyFont="1"/>
    <xf numFmtId="0" fontId="2" fillId="2" borderId="1" xfId="0" applyFont="1" applyFill="1" applyBorder="1"/>
    <xf numFmtId="165" fontId="2" fillId="3" borderId="1" xfId="1" applyNumberFormat="1" applyFont="1" applyFill="1" applyBorder="1"/>
    <xf numFmtId="0" fontId="2" fillId="4" borderId="1" xfId="0" applyFont="1" applyFill="1" applyBorder="1"/>
    <xf numFmtId="165" fontId="2" fillId="4" borderId="1" xfId="0" applyNumberFormat="1" applyFont="1" applyFill="1" applyBorder="1"/>
    <xf numFmtId="0" fontId="3" fillId="0" borderId="0" xfId="0" applyFont="1"/>
    <xf numFmtId="165" fontId="2" fillId="11" borderId="1" xfId="0" applyNumberFormat="1" applyFont="1" applyFill="1" applyBorder="1"/>
    <xf numFmtId="165" fontId="2" fillId="2" borderId="1" xfId="1" applyNumberFormat="1" applyFont="1" applyFill="1" applyBorder="1"/>
    <xf numFmtId="165" fontId="2" fillId="12" borderId="1" xfId="0" applyNumberFormat="1" applyFont="1" applyFill="1" applyBorder="1"/>
    <xf numFmtId="165" fontId="4" fillId="14" borderId="1" xfId="0" applyNumberFormat="1" applyFont="1" applyFill="1" applyBorder="1"/>
    <xf numFmtId="0" fontId="2" fillId="16" borderId="1" xfId="0" applyFont="1" applyFill="1" applyBorder="1"/>
    <xf numFmtId="0" fontId="4" fillId="0" borderId="0" xfId="0" applyFont="1"/>
    <xf numFmtId="0" fontId="2" fillId="0" borderId="2" xfId="0" applyFont="1" applyBorder="1"/>
    <xf numFmtId="14" fontId="5" fillId="2" borderId="1" xfId="0" applyNumberFormat="1" applyFont="1" applyFill="1" applyBorder="1"/>
    <xf numFmtId="14" fontId="5" fillId="4" borderId="1" xfId="0" applyNumberFormat="1" applyFont="1" applyFill="1" applyBorder="1"/>
    <xf numFmtId="0" fontId="2" fillId="11" borderId="5" xfId="0" applyFont="1" applyFill="1" applyBorder="1"/>
    <xf numFmtId="165" fontId="2" fillId="11" borderId="3" xfId="0" applyNumberFormat="1" applyFont="1" applyFill="1" applyBorder="1"/>
    <xf numFmtId="0" fontId="2" fillId="11" borderId="9" xfId="0" applyFont="1" applyFill="1" applyBorder="1"/>
    <xf numFmtId="165" fontId="2" fillId="11" borderId="10" xfId="0" applyNumberFormat="1" applyFont="1" applyFill="1" applyBorder="1"/>
    <xf numFmtId="165" fontId="2" fillId="11" borderId="11" xfId="0" applyNumberFormat="1" applyFont="1" applyFill="1" applyBorder="1"/>
    <xf numFmtId="0" fontId="2" fillId="3" borderId="5" xfId="0" applyFont="1" applyFill="1" applyBorder="1"/>
    <xf numFmtId="165" fontId="2" fillId="3" borderId="3" xfId="1" applyNumberFormat="1" applyFont="1" applyFill="1" applyBorder="1"/>
    <xf numFmtId="0" fontId="2" fillId="9" borderId="6" xfId="0" applyFont="1" applyFill="1" applyBorder="1"/>
    <xf numFmtId="0" fontId="2" fillId="9" borderId="7" xfId="0" applyFont="1" applyFill="1" applyBorder="1"/>
    <xf numFmtId="0" fontId="2" fillId="9" borderId="8" xfId="0" applyFont="1" applyFill="1" applyBorder="1"/>
    <xf numFmtId="0" fontId="2" fillId="3" borderId="9" xfId="0" applyFont="1" applyFill="1" applyBorder="1"/>
    <xf numFmtId="165" fontId="2" fillId="3" borderId="10" xfId="1" applyNumberFormat="1" applyFont="1" applyFill="1" applyBorder="1"/>
    <xf numFmtId="165" fontId="2" fillId="3" borderId="11" xfId="1" applyNumberFormat="1" applyFont="1" applyFill="1" applyBorder="1"/>
    <xf numFmtId="0" fontId="2" fillId="2" borderId="5" xfId="0" applyFont="1" applyFill="1" applyBorder="1"/>
    <xf numFmtId="165" fontId="2" fillId="2" borderId="3" xfId="1" applyNumberFormat="1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2" fillId="8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165" fontId="2" fillId="2" borderId="10" xfId="1" applyNumberFormat="1" applyFont="1" applyFill="1" applyBorder="1"/>
    <xf numFmtId="165" fontId="2" fillId="2" borderId="11" xfId="1" applyNumberFormat="1" applyFont="1" applyFill="1" applyBorder="1"/>
    <xf numFmtId="0" fontId="2" fillId="4" borderId="5" xfId="0" applyFont="1" applyFill="1" applyBorder="1"/>
    <xf numFmtId="165" fontId="2" fillId="4" borderId="3" xfId="0" applyNumberFormat="1" applyFont="1" applyFill="1" applyBorder="1"/>
    <xf numFmtId="0" fontId="2" fillId="10" borderId="6" xfId="0" applyFont="1" applyFill="1" applyBorder="1"/>
    <xf numFmtId="0" fontId="2" fillId="10" borderId="7" xfId="0" applyFont="1" applyFill="1" applyBorder="1"/>
    <xf numFmtId="0" fontId="2" fillId="10" borderId="8" xfId="0" applyFont="1" applyFill="1" applyBorder="1"/>
    <xf numFmtId="0" fontId="2" fillId="4" borderId="9" xfId="0" applyFont="1" applyFill="1" applyBorder="1"/>
    <xf numFmtId="0" fontId="2" fillId="4" borderId="10" xfId="0" applyFont="1" applyFill="1" applyBorder="1"/>
    <xf numFmtId="165" fontId="2" fillId="4" borderId="10" xfId="0" applyNumberFormat="1" applyFont="1" applyFill="1" applyBorder="1"/>
    <xf numFmtId="165" fontId="2" fillId="4" borderId="11" xfId="0" applyNumberFormat="1" applyFont="1" applyFill="1" applyBorder="1"/>
    <xf numFmtId="0" fontId="2" fillId="12" borderId="5" xfId="0" applyFont="1" applyFill="1" applyBorder="1"/>
    <xf numFmtId="165" fontId="2" fillId="12" borderId="3" xfId="0" applyNumberFormat="1" applyFont="1" applyFill="1" applyBorder="1"/>
    <xf numFmtId="0" fontId="2" fillId="16" borderId="6" xfId="0" applyFont="1" applyFill="1" applyBorder="1"/>
    <xf numFmtId="0" fontId="2" fillId="16" borderId="7" xfId="0" applyFont="1" applyFill="1" applyBorder="1"/>
    <xf numFmtId="0" fontId="2" fillId="16" borderId="8" xfId="0" applyFont="1" applyFill="1" applyBorder="1"/>
    <xf numFmtId="0" fontId="2" fillId="12" borderId="9" xfId="0" applyFont="1" applyFill="1" applyBorder="1"/>
    <xf numFmtId="165" fontId="2" fillId="12" borderId="10" xfId="0" applyNumberFormat="1" applyFont="1" applyFill="1" applyBorder="1"/>
    <xf numFmtId="165" fontId="2" fillId="12" borderId="11" xfId="0" applyNumberFormat="1" applyFont="1" applyFill="1" applyBorder="1"/>
    <xf numFmtId="0" fontId="6" fillId="15" borderId="6" xfId="0" applyFont="1" applyFill="1" applyBorder="1"/>
    <xf numFmtId="0" fontId="6" fillId="15" borderId="7" xfId="0" applyFont="1" applyFill="1" applyBorder="1"/>
    <xf numFmtId="0" fontId="6" fillId="15" borderId="8" xfId="0" applyFont="1" applyFill="1" applyBorder="1"/>
    <xf numFmtId="0" fontId="4" fillId="6" borderId="9" xfId="0" applyFont="1" applyFill="1" applyBorder="1"/>
    <xf numFmtId="165" fontId="4" fillId="6" borderId="10" xfId="0" applyNumberFormat="1" applyFont="1" applyFill="1" applyBorder="1"/>
    <xf numFmtId="165" fontId="4" fillId="6" borderId="11" xfId="0" applyNumberFormat="1" applyFont="1" applyFill="1" applyBorder="1"/>
    <xf numFmtId="0" fontId="6" fillId="13" borderId="9" xfId="0" applyFont="1" applyFill="1" applyBorder="1"/>
    <xf numFmtId="165" fontId="6" fillId="13" borderId="10" xfId="0" applyNumberFormat="1" applyFont="1" applyFill="1" applyBorder="1"/>
    <xf numFmtId="165" fontId="6" fillId="13" borderId="11" xfId="0" applyNumberFormat="1" applyFont="1" applyFill="1" applyBorder="1"/>
    <xf numFmtId="0" fontId="4" fillId="5" borderId="9" xfId="0" applyFont="1" applyFill="1" applyBorder="1"/>
    <xf numFmtId="0" fontId="4" fillId="5" borderId="10" xfId="0" applyFont="1" applyFill="1" applyBorder="1"/>
    <xf numFmtId="165" fontId="4" fillId="5" borderId="10" xfId="0" applyNumberFormat="1" applyFont="1" applyFill="1" applyBorder="1"/>
    <xf numFmtId="0" fontId="4" fillId="5" borderId="11" xfId="0" applyFont="1" applyFill="1" applyBorder="1"/>
    <xf numFmtId="0" fontId="4" fillId="7" borderId="9" xfId="0" applyFont="1" applyFill="1" applyBorder="1"/>
    <xf numFmtId="0" fontId="4" fillId="7" borderId="10" xfId="0" applyFont="1" applyFill="1" applyBorder="1"/>
    <xf numFmtId="165" fontId="4" fillId="7" borderId="10" xfId="0" applyNumberFormat="1" applyFont="1" applyFill="1" applyBorder="1"/>
    <xf numFmtId="0" fontId="4" fillId="7" borderId="11" xfId="0" applyFont="1" applyFill="1" applyBorder="1"/>
    <xf numFmtId="0" fontId="4" fillId="14" borderId="9" xfId="0" applyFont="1" applyFill="1" applyBorder="1"/>
    <xf numFmtId="165" fontId="4" fillId="14" borderId="10" xfId="0" applyNumberFormat="1" applyFont="1" applyFill="1" applyBorder="1"/>
    <xf numFmtId="165" fontId="4" fillId="14" borderId="11" xfId="0" applyNumberFormat="1" applyFont="1" applyFill="1" applyBorder="1"/>
    <xf numFmtId="0" fontId="4" fillId="14" borderId="2" xfId="0" applyFont="1" applyFill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13" borderId="2" xfId="0" applyFont="1" applyFill="1" applyBorder="1" applyAlignment="1">
      <alignment horizontal="center"/>
    </xf>
    <xf numFmtId="0" fontId="4" fillId="13" borderId="0" xfId="0" applyFont="1" applyFill="1" applyAlignment="1">
      <alignment horizontal="center"/>
    </xf>
    <xf numFmtId="0" fontId="4" fillId="5" borderId="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rgb="FFFFFFFF"/>
      </font>
      <fill>
        <patternFill patternType="solid">
          <fgColor rgb="FF000000"/>
          <bgColor rgb="FF47355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3964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14425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761F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color rgb="FFFFFFFF"/>
        <name val="Comic Sans MS"/>
        <family val="4"/>
        <charset val="238"/>
        <scheme val="none"/>
      </font>
      <fill>
        <patternFill patternType="solid">
          <fgColor rgb="FF000000"/>
          <bgColor rgb="FFB35C06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8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color theme="0"/>
      </font>
      <fill>
        <patternFill patternType="solid">
          <fgColor indexed="64"/>
          <bgColor theme="8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7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0" formatCode="General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6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5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5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mic Sans MS"/>
        <family val="4"/>
        <charset val="238"/>
        <scheme val="none"/>
      </font>
      <fill>
        <patternFill patternType="solid">
          <fgColor indexed="64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font>
        <b/>
        <strike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-0.249977111117893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omic Sans MS"/>
        <family val="4"/>
        <charset val="238"/>
        <scheme val="none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</font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b/>
        <i/>
        <color theme="5" tint="0.39994506668294322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Light16">
    <tableStyle name="Table Style" pivot="0" count="1" xr9:uid="{9186B6AD-1665-4F74-9CF2-F839F38C8769}">
      <tableStyleElement type="wholeTable" dxfId="781"/>
    </tableStyle>
    <tableStyle name="Table Style Mine" pivot="0" count="1" xr9:uid="{24B62284-CFD2-4A14-AE2B-17A7B7FDD7B4}">
      <tableStyleElement type="wholeTable" dxfId="7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C8-4A7E-8CE5-C769EA05239E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'1'!$C$5:$C$7</c:f>
              <c:numCache>
                <c:formatCode>_-* #,##0.00\ [$zł-415]_-;\-* #,##0.00\ [$zł-415]_-;_-* "-"??\ [$zł-415]_-;_-@_-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C8-4A7E-8CE5-C769EA052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425-43C7-ADE7-64C245C1421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425-43C7-ADE7-64C245C1421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425-43C7-ADE7-64C245C1421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425-43C7-ADE7-64C245C1421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425-43C7-ADE7-64C245C14210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51C-452A-A20D-58552FF1E396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1C-452A-A20D-58552FF1E396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51C-452A-A20D-58552FF1E396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1C-452A-A20D-58552FF1E396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51C-452A-A20D-58552FF1E396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51C-452A-A20D-58552FF1E396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1C-452A-A20D-58552FF1E396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51C-452A-A20D-58552FF1E396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1C-452A-A20D-58552FF1E396}"/>
            </c:ext>
          </c:extLst>
        </c:ser>
        <c:ser>
          <c:idx val="1"/>
          <c:order val="1"/>
          <c:tx>
            <c:strRef>
              <c:f>'1'!$H$12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51C-452A-A20D-58552FF1E39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51C-452A-A20D-58552FF1E39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51C-452A-A20D-58552FF1E39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51C-452A-A20D-58552FF1E39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1C-452A-A20D-58552FF1E39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51C-452A-A20D-58552FF1E39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1C-452A-A20D-58552FF1E39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51C-452A-A20D-58552FF1E39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1C-452A-A20D-58552FF1E39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A425-43C7-ADE7-64C245C14210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A425-43C7-ADE7-64C245C14210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A425-43C7-ADE7-64C245C14210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A425-43C7-ADE7-64C245C14210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A425-43C7-ADE7-64C245C14210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51C-452A-A20D-58552FF1E396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51C-452A-A20D-58552FF1E396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51C-452A-A20D-58552FF1E396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51C-452A-A20D-58552FF1E396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1C-452A-A20D-58552FF1E396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51C-452A-A20D-58552FF1E396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1C-452A-A20D-58552FF1E396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1C-452A-A20D-58552FF1E396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1C-452A-A20D-58552FF1E3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80</c:v>
                </c:pt>
                <c:pt idx="2">
                  <c:v>85</c:v>
                </c:pt>
                <c:pt idx="3">
                  <c:v>1715</c:v>
                </c:pt>
                <c:pt idx="4">
                  <c:v>100</c:v>
                </c:pt>
                <c:pt idx="5">
                  <c:v>150</c:v>
                </c:pt>
                <c:pt idx="6">
                  <c:v>500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1C-452A-A20D-58552FF1E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0D2-4759-A12E-6D171279F045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0D2-4759-A12E-6D171279F045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0D2-4759-A12E-6D171279F045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0D2-4759-A12E-6D171279F045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0D2-4759-A12E-6D171279F045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0D2-4759-A12E-6D171279F045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0D2-4759-A12E-6D171279F045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0D2-4759-A12E-6D171279F045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0D2-4759-A12E-6D171279F045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8A-4B95-98D2-62564A6546AA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8A-4B95-98D2-62564A6546AA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8A-4B95-98D2-62564A6546AA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8A-4B95-98D2-62564A6546AA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8A-4B95-98D2-62564A6546AA}"/>
            </c:ext>
          </c:extLst>
        </c:ser>
        <c:ser>
          <c:idx val="1"/>
          <c:order val="1"/>
          <c:tx>
            <c:strRef>
              <c:f>'1'!$C$12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68A-4B95-98D2-62564A6546A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68A-4B95-98D2-62564A6546A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8A-4B95-98D2-62564A6546A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68A-4B95-98D2-62564A6546A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68A-4B95-98D2-62564A6546A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8A-4B95-98D2-62564A6546A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30D2-4759-A12E-6D171279F045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30D2-4759-A12E-6D171279F045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30D2-4759-A12E-6D171279F045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30D2-4759-A12E-6D171279F045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30D2-4759-A12E-6D171279F045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30D2-4759-A12E-6D171279F045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30D2-4759-A12E-6D171279F045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30D2-4759-A12E-6D171279F045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8A-4B95-98D2-62564A6546AA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8A-4B95-98D2-62564A6546AA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8A-4B95-98D2-62564A6546AA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8A-4B95-98D2-62564A6546AA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8A-4B95-98D2-62564A6546AA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8A-4B95-98D2-62564A6546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'1'!$C$13:$C$26</c:f>
              <c:numCache>
                <c:formatCode>_-* #,##0.00\ [$zł-415]_-;\-* #,##0.00\ [$zł-415]_-;_-* "-"??\ [$zł-415]_-;_-@_-</c:formatCode>
                <c:ptCount val="14"/>
                <c:pt idx="0">
                  <c:v>250</c:v>
                </c:pt>
                <c:pt idx="1">
                  <c:v>105.5</c:v>
                </c:pt>
                <c:pt idx="2">
                  <c:v>0</c:v>
                </c:pt>
                <c:pt idx="3">
                  <c:v>800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A-4B95-98D2-62564A654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43E5-9BA7-CD82A8433FB4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'2'!$C$5:$C$7</c:f>
              <c:numCache>
                <c:formatCode>_-* #,##0.00\ [$zł-415]_-;\-* #,##0.00\ [$zł-415]_-;_-* "-"??\ [$zł-415]_-;_-@_-</c:formatCode>
                <c:ptCount val="3"/>
                <c:pt idx="0">
                  <c:v>6565</c:v>
                </c:pt>
                <c:pt idx="1">
                  <c:v>4100.5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43E5-9BA7-CD82A8433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C-4A2C-A15C-76FFCFF9060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C-4A2C-A15C-76FFCFF9060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C-4A2C-A15C-76FFCFF9060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CC-4A2C-A15C-76FFCFF9060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C-4A2C-A15C-76FFCFF9060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4CC-4A2C-A15C-76FFCFF9060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C-4A2C-A15C-76FFCFF9060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4CC-4A2C-A15C-76FFCFF9060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4CC-4A2C-A15C-76FFCFF9060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C-4A2C-A15C-76FFCFF9060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C-4A2C-A15C-76FFCFF9060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C-4A2C-A15C-76FFCFF9060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C-4A2C-A15C-76FFCFF9060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C-4A2C-A15C-76FFCFF90609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CC-4A2C-A15C-76FFCFF90609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CC-4A2C-A15C-76FFCFF90609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CC-4A2C-A15C-76FFCFF90609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CC-4A2C-A15C-76FFCFF90609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4CC-4A2C-A15C-76FFCFF90609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CC-4A2C-A15C-76FFCFF90609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4CC-4A2C-A15C-76FFCFF90609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4CC-4A2C-A15C-76FFCFF90609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4CC-4A2C-A15C-76FFCFF906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4CC-4A2C-A15C-76FFCFF90609}"/>
            </c:ext>
          </c:extLst>
        </c:ser>
        <c:ser>
          <c:idx val="1"/>
          <c:order val="1"/>
          <c:tx>
            <c:strRef>
              <c:f>'2'!$H$12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A4CC-4A2C-A15C-76FFCFF9060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A4CC-4A2C-A15C-76FFCFF9060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C-4A2C-A15C-76FFCFF9060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A4CC-4A2C-A15C-76FFCFF9060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C-4A2C-A15C-76FFCFF9060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A4CC-4A2C-A15C-76FFCFF9060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A4CC-4A2C-A15C-76FFCFF9060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A4CC-4A2C-A15C-76FFCFF9060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A4CC-4A2C-A15C-76FFCFF9060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A4CC-4A2C-A15C-76FFCFF9060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A4CC-4A2C-A15C-76FFCFF9060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A4CC-4A2C-A15C-76FFCFF9060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A4CC-4A2C-A15C-76FFCFF9060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A4CC-4A2C-A15C-76FFCFF90609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4CC-4A2C-A15C-76FFCFF90609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4CC-4A2C-A15C-76FFCFF90609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4CC-4A2C-A15C-76FFCFF90609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4CC-4A2C-A15C-76FFCFF90609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4CC-4A2C-A15C-76FFCFF90609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4CC-4A2C-A15C-76FFCFF90609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4CC-4A2C-A15C-76FFCFF90609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4CC-4A2C-A15C-76FFCFF90609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4CC-4A2C-A15C-76FFCFF906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350</c:v>
                </c:pt>
                <c:pt idx="3">
                  <c:v>405.5</c:v>
                </c:pt>
                <c:pt idx="4">
                  <c:v>250</c:v>
                </c:pt>
                <c:pt idx="5">
                  <c:v>150</c:v>
                </c:pt>
                <c:pt idx="6">
                  <c:v>765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4CC-4A2C-A15C-76FFCFF90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6BB-4B93-86E7-A444589C42D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6BB-4B93-86E7-A444589C42D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6BB-4B93-86E7-A444589C42D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BB-4B93-86E7-A444589C42D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BB-4B93-86E7-A444589C42D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6BB-4B93-86E7-A444589C42D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6BB-4B93-86E7-A444589C42D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6BB-4B93-86E7-A444589C42D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6BB-4B93-86E7-A444589C42D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6BB-4B93-86E7-A444589C42D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6BB-4B93-86E7-A444589C42D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6BB-4B93-86E7-A444589C42D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6BB-4B93-86E7-A444589C42D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6BB-4B93-86E7-A444589C42DF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6BB-4B93-86E7-A444589C42DF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BB-4B93-86E7-A444589C42DF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6BB-4B93-86E7-A444589C42DF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BB-4B93-86E7-A444589C42DF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BB-4B93-86E7-A444589C42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6BB-4B93-86E7-A444589C42DF}"/>
            </c:ext>
          </c:extLst>
        </c:ser>
        <c:ser>
          <c:idx val="1"/>
          <c:order val="1"/>
          <c:tx>
            <c:strRef>
              <c:f>'2'!$C$12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76BB-4B93-86E7-A444589C42D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76BB-4B93-86E7-A444589C42D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76BB-4B93-86E7-A444589C42D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76BB-4B93-86E7-A444589C42D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76BB-4B93-86E7-A444589C42D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76BB-4B93-86E7-A444589C42D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76BB-4B93-86E7-A444589C42D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76BB-4B93-86E7-A444589C42D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76BB-4B93-86E7-A444589C42D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76BB-4B93-86E7-A444589C42D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76BB-4B93-86E7-A444589C42D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76BB-4B93-86E7-A444589C42D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76BB-4B93-86E7-A444589C42D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76BB-4B93-86E7-A444589C42DF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6BB-4B93-86E7-A444589C42DF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6BB-4B93-86E7-A444589C42DF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6BB-4B93-86E7-A444589C42DF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6BB-4B93-86E7-A444589C42DF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6BB-4B93-86E7-A444589C42DF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6BB-4B93-86E7-A444589C42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115</c:v>
                </c:pt>
                <c:pt idx="2">
                  <c:v>0</c:v>
                </c:pt>
                <c:pt idx="3">
                  <c:v>1950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76BB-4B93-86E7-A444589C4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A-4C0C-8DBB-A41AF9EA8D0B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'3'!$C$5:$C$7</c:f>
              <c:numCache>
                <c:formatCode>_-* #,##0.00\ [$zł-415]_-;\-* #,##0.00\ [$zł-415]_-;_-* "-"??\ [$zł-415]_-;_-@_-</c:formatCode>
                <c:ptCount val="3"/>
                <c:pt idx="0">
                  <c:v>4655</c:v>
                </c:pt>
                <c:pt idx="1">
                  <c:v>3899.3900000000003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2A-4C0C-8DBB-A41AF9EA8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9B6-4CEC-B397-1DCBF15055FF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9B6-4CEC-B397-1DCBF15055FF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9B6-4CEC-B397-1DCBF15055FF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9B6-4CEC-B397-1DCBF15055FF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9B6-4CEC-B397-1DCBF15055FF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9B6-4CEC-B397-1DCBF15055FF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9B6-4CEC-B397-1DCBF15055FF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9B6-4CEC-B397-1DCBF15055FF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9B6-4CEC-B397-1DCBF15055FF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9B6-4CEC-B397-1DCBF15055FF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9B6-4CEC-B397-1DCBF15055FF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9B6-4CEC-B397-1DCBF15055FF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9B6-4CEC-B397-1DCBF15055FF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9B6-4CEC-B397-1DCBF15055FF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B6-4CEC-B397-1DCBF15055FF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B6-4CEC-B397-1DCBF15055FF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9B6-4CEC-B397-1DCBF15055FF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B6-4CEC-B397-1DCBF15055FF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9B6-4CEC-B397-1DCBF15055FF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B6-4CEC-B397-1DCBF15055FF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9B6-4CEC-B397-1DCBF15055FF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9B6-4CEC-B397-1DCBF15055FF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9B6-4CEC-B397-1DCBF15055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9B6-4CEC-B397-1DCBF15055FF}"/>
            </c:ext>
          </c:extLst>
        </c:ser>
        <c:ser>
          <c:idx val="1"/>
          <c:order val="1"/>
          <c:tx>
            <c:strRef>
              <c:f>'3'!$H$12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29B6-4CEC-B397-1DCBF15055FF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29B6-4CEC-B397-1DCBF15055FF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29B6-4CEC-B397-1DCBF15055FF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9B6-4CEC-B397-1DCBF15055FF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9B6-4CEC-B397-1DCBF15055FF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9B6-4CEC-B397-1DCBF15055FF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9B6-4CEC-B397-1DCBF15055FF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9B6-4CEC-B397-1DCBF15055FF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9B6-4CEC-B397-1DCBF15055FF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9B6-4CEC-B397-1DCBF15055FF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9B6-4CEC-B397-1DCBF15055FF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9B6-4CEC-B397-1DCBF15055FF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9B6-4CEC-B397-1DCBF15055FF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9B6-4CEC-B397-1DCBF15055FF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9B6-4CEC-B397-1DCBF15055FF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9B6-4CEC-B397-1DCBF15055FF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9B6-4CEC-B397-1DCBF15055FF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9B6-4CEC-B397-1DCBF15055FF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9B6-4CEC-B397-1DCBF15055FF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9B6-4CEC-B397-1DCBF15055FF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9B6-4CEC-B397-1DCBF15055FF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9B6-4CEC-B397-1DCBF15055FF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9B6-4CEC-B397-1DCBF15055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469.9</c:v>
                </c:pt>
                <c:pt idx="2">
                  <c:v>200</c:v>
                </c:pt>
                <c:pt idx="3">
                  <c:v>734.99</c:v>
                </c:pt>
                <c:pt idx="4">
                  <c:v>9.5</c:v>
                </c:pt>
                <c:pt idx="5">
                  <c:v>23</c:v>
                </c:pt>
                <c:pt idx="6">
                  <c:v>300</c:v>
                </c:pt>
                <c:pt idx="7">
                  <c:v>79.5</c:v>
                </c:pt>
                <c:pt idx="8">
                  <c:v>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29B6-4CEC-B397-1DCBF1505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A9-469D-BFDA-84430DBC11B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A9-469D-BFDA-84430DBC11B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A9-469D-BFDA-84430DBC11B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A9-469D-BFDA-84430DBC11B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A9-469D-BFDA-84430DBC11B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A9-469D-BFDA-84430DBC11B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A9-469D-BFDA-84430DBC11B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A9-469D-BFDA-84430DBC11B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A9-469D-BFDA-84430DBC11B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3A9-469D-BFDA-84430DBC11B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3A9-469D-BFDA-84430DBC11B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3A9-469D-BFDA-84430DBC11B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3A9-469D-BFDA-84430DBC11B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3A9-469D-BFDA-84430DBC11B4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A9-469D-BFDA-84430DBC11B4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A9-469D-BFDA-84430DBC11B4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A9-469D-BFDA-84430DBC11B4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3A9-469D-BFDA-84430DBC11B4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A9-469D-BFDA-84430DBC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3A9-469D-BFDA-84430DBC11B4}"/>
            </c:ext>
          </c:extLst>
        </c:ser>
        <c:ser>
          <c:idx val="1"/>
          <c:order val="1"/>
          <c:tx>
            <c:strRef>
              <c:f>'3'!$C$12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3A9-469D-BFDA-84430DBC11B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3A9-469D-BFDA-84430DBC11B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3A9-469D-BFDA-84430DBC11B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3A9-469D-BFDA-84430DBC11B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C3A9-469D-BFDA-84430DBC11B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C3A9-469D-BFDA-84430DBC11B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C3A9-469D-BFDA-84430DBC11B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C3A9-469D-BFDA-84430DBC11B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C3A9-469D-BFDA-84430DBC11B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C3A9-469D-BFDA-84430DBC11B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C3A9-469D-BFDA-84430DBC11B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C3A9-469D-BFDA-84430DBC11B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C3A9-469D-BFDA-84430DBC11B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C3A9-469D-BFDA-84430DBC11B4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3A9-469D-BFDA-84430DBC11B4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3A9-469D-BFDA-84430DBC11B4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3A9-469D-BFDA-84430DBC11B4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3A9-469D-BFDA-84430DBC11B4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3A9-469D-BFDA-84430DBC11B4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3A9-469D-BFDA-84430DBC11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'3'!$C$13:$C$26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150</c:v>
                </c:pt>
                <c:pt idx="2">
                  <c:v>5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3A9-469D-BFDA-84430DBC1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B0-49EA-8AF5-DB042E232877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'4'!$C$5:$C$7</c:f>
              <c:numCache>
                <c:formatCode>_-* #,##0.00\ [$zł-415]_-;\-* #,##0.00\ [$zł-415]_-;_-* "-"??\ [$zł-415]_-;_-@_-</c:formatCode>
                <c:ptCount val="3"/>
                <c:pt idx="0">
                  <c:v>4700</c:v>
                </c:pt>
                <c:pt idx="1">
                  <c:v>3973.16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B0-49EA-8AF5-DB042E232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A8-4C58-BEF0-150D41EB2A9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8-4C58-BEF0-150D41EB2A9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8-4C58-BEF0-150D41EB2A9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EA8-4C58-BEF0-150D41EB2A9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EA8-4C58-BEF0-150D41EB2A9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EA8-4C58-BEF0-150D41EB2A9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EA8-4C58-BEF0-150D41EB2A9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EA8-4C58-BEF0-150D41EB2A9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EA8-4C58-BEF0-150D41EB2A9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EA8-4C58-BEF0-150D41EB2A9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EA8-4C58-BEF0-150D41EB2A9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FEA8-4C58-BEF0-150D41EB2A9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EA8-4C58-BEF0-150D41EB2A9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EA8-4C58-BEF0-150D41EB2A95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EA8-4C58-BEF0-150D41EB2A95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A8-4C58-BEF0-150D41EB2A95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EA8-4C58-BEF0-150D41EB2A95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A8-4C58-BEF0-150D41EB2A95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A8-4C58-BEF0-150D41EB2A95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A8-4C58-BEF0-150D41EB2A95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EA8-4C58-BEF0-150D41EB2A95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EA8-4C58-BEF0-150D41EB2A95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EA8-4C58-BEF0-150D41EB2A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EA8-4C58-BEF0-150D41EB2A95}"/>
            </c:ext>
          </c:extLst>
        </c:ser>
        <c:ser>
          <c:idx val="1"/>
          <c:order val="1"/>
          <c:tx>
            <c:strRef>
              <c:f>'4'!$H$12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FEA8-4C58-BEF0-150D41EB2A95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FEA8-4C58-BEF0-150D41EB2A95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FEA8-4C58-BEF0-150D41EB2A95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FEA8-4C58-BEF0-150D41EB2A95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FEA8-4C58-BEF0-150D41EB2A95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FEA8-4C58-BEF0-150D41EB2A95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FEA8-4C58-BEF0-150D41EB2A95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FEA8-4C58-BEF0-150D41EB2A95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FEA8-4C58-BEF0-150D41EB2A95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FEA8-4C58-BEF0-150D41EB2A95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FEA8-4C58-BEF0-150D41EB2A95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FEA8-4C58-BEF0-150D41EB2A95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FEA8-4C58-BEF0-150D41EB2A95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FEA8-4C58-BEF0-150D41EB2A95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FEA8-4C58-BEF0-150D41EB2A95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FEA8-4C58-BEF0-150D41EB2A95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FEA8-4C58-BEF0-150D41EB2A95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FEA8-4C58-BEF0-150D41EB2A95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FEA8-4C58-BEF0-150D41EB2A95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FEA8-4C58-BEF0-150D41EB2A95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FEA8-4C58-BEF0-150D41EB2A95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FEA8-4C58-BEF0-150D41EB2A95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FEA8-4C58-BEF0-150D41EB2A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149</c:v>
                </c:pt>
                <c:pt idx="2">
                  <c:v>1057.9000000000001</c:v>
                </c:pt>
                <c:pt idx="3">
                  <c:v>372.26</c:v>
                </c:pt>
                <c:pt idx="4">
                  <c:v>23.5</c:v>
                </c:pt>
                <c:pt idx="5">
                  <c:v>49</c:v>
                </c:pt>
                <c:pt idx="6">
                  <c:v>100</c:v>
                </c:pt>
                <c:pt idx="7">
                  <c:v>139</c:v>
                </c:pt>
                <c:pt idx="8">
                  <c:v>82.5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FEA8-4C58-BEF0-150D41EB2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A9B-4A38-9CA1-5784ABC2B4D7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A9B-4A38-9CA1-5784ABC2B4D7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A9B-4A38-9CA1-5784ABC2B4D7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A9B-4A38-9CA1-5784ABC2B4D7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A9B-4A38-9CA1-5784ABC2B4D7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A9B-4A38-9CA1-5784ABC2B4D7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A9B-4A38-9CA1-5784ABC2B4D7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A9B-4A38-9CA1-5784ABC2B4D7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A9B-4A38-9CA1-5784ABC2B4D7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A9B-4A38-9CA1-5784ABC2B4D7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A9B-4A38-9CA1-5784ABC2B4D7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A9B-4A38-9CA1-5784ABC2B4D7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A9B-4A38-9CA1-5784ABC2B4D7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A9B-4A38-9CA1-5784ABC2B4D7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9B-4A38-9CA1-5784ABC2B4D7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9B-4A38-9CA1-5784ABC2B4D7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9B-4A38-9CA1-5784ABC2B4D7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A9B-4A38-9CA1-5784ABC2B4D7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9B-4A38-9CA1-5784ABC2B4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9B-4A38-9CA1-5784ABC2B4D7}"/>
            </c:ext>
          </c:extLst>
        </c:ser>
        <c:ser>
          <c:idx val="1"/>
          <c:order val="1"/>
          <c:tx>
            <c:strRef>
              <c:f>'4'!$C$12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A9B-4A38-9CA1-5784ABC2B4D7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A9B-4A38-9CA1-5784ABC2B4D7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A9B-4A38-9CA1-5784ABC2B4D7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A9B-4A38-9CA1-5784ABC2B4D7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A9B-4A38-9CA1-5784ABC2B4D7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A9B-4A38-9CA1-5784ABC2B4D7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A9B-4A38-9CA1-5784ABC2B4D7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A9B-4A38-9CA1-5784ABC2B4D7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A9B-4A38-9CA1-5784ABC2B4D7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A9B-4A38-9CA1-5784ABC2B4D7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A9B-4A38-9CA1-5784ABC2B4D7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A9B-4A38-9CA1-5784ABC2B4D7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A9B-4A38-9CA1-5784ABC2B4D7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A9B-4A38-9CA1-5784ABC2B4D7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A9B-4A38-9CA1-5784ABC2B4D7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A9B-4A38-9CA1-5784ABC2B4D7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A9B-4A38-9CA1-5784ABC2B4D7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A9B-4A38-9CA1-5784ABC2B4D7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A9B-4A38-9CA1-5784ABC2B4D7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A9B-4A38-9CA1-5784ABC2B4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'4'!$C$13:$C$26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150</c:v>
                </c:pt>
                <c:pt idx="2">
                  <c:v>50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A9B-4A38-9CA1-5784ABC2B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CA-4561-9B18-F0D0F17704E7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'5'!$C$5:$C$7</c:f>
              <c:numCache>
                <c:formatCode>_-* #,##0.00\ [$zł-415]_-;\-* #,##0.00\ [$zł-415]_-;_-* "-"??\ [$zł-415]_-;_-@_-</c:formatCode>
                <c:ptCount val="3"/>
                <c:pt idx="0">
                  <c:v>4500</c:v>
                </c:pt>
                <c:pt idx="1">
                  <c:v>3210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CA-4561-9B18-F0D0F1770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2D-443E-B49D-429259787C94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2D-443E-B49D-429259787C94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2D-443E-B49D-429259787C94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2D-443E-B49D-429259787C94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2D-443E-B49D-429259787C94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82D-443E-B49D-429259787C94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82D-443E-B49D-429259787C94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82D-443E-B49D-429259787C94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82D-443E-B49D-429259787C94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82D-443E-B49D-429259787C94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82D-443E-B49D-429259787C94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82D-443E-B49D-429259787C94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82D-443E-B49D-429259787C94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82D-443E-B49D-429259787C94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2D-443E-B49D-429259787C94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2D-443E-B49D-429259787C94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2D-443E-B49D-429259787C94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2D-443E-B49D-429259787C94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2D-443E-B49D-429259787C94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2D-443E-B49D-429259787C94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82D-443E-B49D-429259787C94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82D-443E-B49D-429259787C94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82D-443E-B49D-429259787C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82D-443E-B49D-429259787C94}"/>
            </c:ext>
          </c:extLst>
        </c:ser>
        <c:ser>
          <c:idx val="1"/>
          <c:order val="1"/>
          <c:tx>
            <c:strRef>
              <c:f>'5'!$H$12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82D-443E-B49D-429259787C94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82D-443E-B49D-429259787C94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82D-443E-B49D-429259787C94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82D-443E-B49D-429259787C94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82D-443E-B49D-429259787C94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82D-443E-B49D-429259787C94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82D-443E-B49D-429259787C94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82D-443E-B49D-429259787C94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82D-443E-B49D-429259787C94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82D-443E-B49D-429259787C94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82D-443E-B49D-429259787C94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82D-443E-B49D-429259787C94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82D-443E-B49D-429259787C94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82D-443E-B49D-429259787C94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82D-443E-B49D-429259787C94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82D-443E-B49D-429259787C94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82D-443E-B49D-429259787C94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82D-443E-B49D-429259787C94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82D-443E-B49D-429259787C94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82D-443E-B49D-429259787C94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82D-443E-B49D-429259787C94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82D-443E-B49D-429259787C94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82D-443E-B49D-429259787C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80</c:v>
                </c:pt>
                <c:pt idx="3">
                  <c:v>1000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82D-443E-B49D-429259787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44-4369-8C11-C6C754850841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44-4369-8C11-C6C754850841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44-4369-8C11-C6C754850841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944-4369-8C11-C6C754850841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944-4369-8C11-C6C754850841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944-4369-8C11-C6C754850841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944-4369-8C11-C6C754850841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944-4369-8C11-C6C754850841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944-4369-8C11-C6C754850841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944-4369-8C11-C6C754850841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944-4369-8C11-C6C754850841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944-4369-8C11-C6C754850841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944-4369-8C11-C6C754850841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944-4369-8C11-C6C754850841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44-4369-8C11-C6C754850841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44-4369-8C11-C6C754850841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44-4369-8C11-C6C754850841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44-4369-8C11-C6C754850841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44-4369-8C11-C6C754850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944-4369-8C11-C6C754850841}"/>
            </c:ext>
          </c:extLst>
        </c:ser>
        <c:ser>
          <c:idx val="1"/>
          <c:order val="1"/>
          <c:tx>
            <c:strRef>
              <c:f>'5'!$C$12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944-4369-8C11-C6C754850841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944-4369-8C11-C6C754850841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944-4369-8C11-C6C754850841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944-4369-8C11-C6C754850841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4944-4369-8C11-C6C754850841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4944-4369-8C11-C6C754850841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4944-4369-8C11-C6C754850841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4944-4369-8C11-C6C754850841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4944-4369-8C11-C6C754850841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4944-4369-8C11-C6C754850841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4944-4369-8C11-C6C754850841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4944-4369-8C11-C6C754850841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4944-4369-8C11-C6C754850841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4944-4369-8C11-C6C754850841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944-4369-8C11-C6C754850841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944-4369-8C11-C6C754850841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944-4369-8C11-C6C754850841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944-4369-8C11-C6C754850841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944-4369-8C11-C6C754850841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944-4369-8C11-C6C7548508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'5'!$C$13:$C$26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944-4369-8C11-C6C754850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4-4ED9-8037-A4534F7EFC69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'6'!$C$5:$C$7</c:f>
              <c:numCache>
                <c:formatCode>_-* #,##0.00\ [$zł-415]_-;\-* #,##0.00\ [$zł-415]_-;_-* "-"??\ [$zł-415]_-;_-@_-</c:formatCode>
                <c:ptCount val="3"/>
                <c:pt idx="0">
                  <c:v>4900</c:v>
                </c:pt>
                <c:pt idx="1">
                  <c:v>3730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24-4ED9-8037-A4534F7EF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280-4C66-BE55-F54C404FA6B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280-4C66-BE55-F54C404FA6B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280-4C66-BE55-F54C404FA6B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280-4C66-BE55-F54C404FA6B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280-4C66-BE55-F54C404FA6B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280-4C66-BE55-F54C404FA6B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280-4C66-BE55-F54C404FA6B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280-4C66-BE55-F54C404FA6B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280-4C66-BE55-F54C404FA6B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280-4C66-BE55-F54C404FA6B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280-4C66-BE55-F54C404FA6B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280-4C66-BE55-F54C404FA6B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280-4C66-BE55-F54C404FA6B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280-4C66-BE55-F54C404FA6B3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80-4C66-BE55-F54C404FA6B3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80-4C66-BE55-F54C404FA6B3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80-4C66-BE55-F54C404FA6B3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80-4C66-BE55-F54C404FA6B3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80-4C66-BE55-F54C404FA6B3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80-4C66-BE55-F54C404FA6B3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280-4C66-BE55-F54C404FA6B3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280-4C66-BE55-F54C404FA6B3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280-4C66-BE55-F54C404FA6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280-4C66-BE55-F54C404FA6B3}"/>
            </c:ext>
          </c:extLst>
        </c:ser>
        <c:ser>
          <c:idx val="1"/>
          <c:order val="1"/>
          <c:tx>
            <c:strRef>
              <c:f>'6'!$H$12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280-4C66-BE55-F54C404FA6B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280-4C66-BE55-F54C404FA6B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280-4C66-BE55-F54C404FA6B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280-4C66-BE55-F54C404FA6B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280-4C66-BE55-F54C404FA6B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280-4C66-BE55-F54C404FA6B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280-4C66-BE55-F54C404FA6B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280-4C66-BE55-F54C404FA6B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280-4C66-BE55-F54C404FA6B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280-4C66-BE55-F54C404FA6B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280-4C66-BE55-F54C404FA6B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280-4C66-BE55-F54C404FA6B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280-4C66-BE55-F54C404FA6B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280-4C66-BE55-F54C404FA6B3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280-4C66-BE55-F54C404FA6B3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280-4C66-BE55-F54C404FA6B3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280-4C66-BE55-F54C404FA6B3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280-4C66-BE55-F54C404FA6B3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280-4C66-BE55-F54C404FA6B3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280-4C66-BE55-F54C404FA6B3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280-4C66-BE55-F54C404FA6B3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280-4C66-BE55-F54C404FA6B3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280-4C66-BE55-F54C404FA6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300</c:v>
                </c:pt>
                <c:pt idx="2">
                  <c:v>200</c:v>
                </c:pt>
                <c:pt idx="3">
                  <c:v>1000</c:v>
                </c:pt>
                <c:pt idx="4">
                  <c:v>100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280-4C66-BE55-F54C404FA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74-4ECD-B460-EE316B8D033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74-4ECD-B460-EE316B8D033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74-4ECD-B460-EE316B8D033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74-4ECD-B460-EE316B8D033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E74-4ECD-B460-EE316B8D033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E74-4ECD-B460-EE316B8D033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E74-4ECD-B460-EE316B8D033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E74-4ECD-B460-EE316B8D033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E74-4ECD-B460-EE316B8D033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E74-4ECD-B460-EE316B8D033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E74-4ECD-B460-EE316B8D033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E74-4ECD-B460-EE316B8D033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E74-4ECD-B460-EE316B8D033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E74-4ECD-B460-EE316B8D0334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74-4ECD-B460-EE316B8D0334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74-4ECD-B460-EE316B8D0334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74-4ECD-B460-EE316B8D0334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74-4ECD-B460-EE316B8D0334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74-4ECD-B460-EE316B8D03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E74-4ECD-B460-EE316B8D0334}"/>
            </c:ext>
          </c:extLst>
        </c:ser>
        <c:ser>
          <c:idx val="1"/>
          <c:order val="1"/>
          <c:tx>
            <c:strRef>
              <c:f>'6'!$C$12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E74-4ECD-B460-EE316B8D0334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E74-4ECD-B460-EE316B8D0334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E74-4ECD-B460-EE316B8D0334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E74-4ECD-B460-EE316B8D0334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E74-4ECD-B460-EE316B8D0334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E74-4ECD-B460-EE316B8D0334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E74-4ECD-B460-EE316B8D0334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E74-4ECD-B460-EE316B8D0334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E74-4ECD-B460-EE316B8D0334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E74-4ECD-B460-EE316B8D0334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E74-4ECD-B460-EE316B8D0334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E74-4ECD-B460-EE316B8D0334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E74-4ECD-B460-EE316B8D0334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E74-4ECD-B460-EE316B8D0334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E74-4ECD-B460-EE316B8D0334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E74-4ECD-B460-EE316B8D0334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E74-4ECD-B460-EE316B8D0334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E74-4ECD-B460-EE316B8D0334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E74-4ECD-B460-EE316B8D0334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E74-4ECD-B460-EE316B8D03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'6'!$C$13:$C$26</c:f>
              <c:numCache>
                <c:formatCode>_-* #,##0.00\ [$zł-415]_-;\-* #,##0.00\ [$zł-415]_-;_-* "-"??\ [$zł-415]_-;_-@_-</c:formatCode>
                <c:ptCount val="14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E74-4ECD-B460-EE316B8D0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5-4595-84A9-6D5B6C1BA066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'7'!$C$5:$C$7</c:f>
              <c:numCache>
                <c:formatCode>_-* #,##0.00\ [$zł-415]_-;\-* #,##0.00\ [$zł-415]_-;_-* "-"??\ [$zł-415]_-;_-@_-</c:formatCode>
                <c:ptCount val="3"/>
                <c:pt idx="0">
                  <c:v>5920</c:v>
                </c:pt>
                <c:pt idx="1">
                  <c:v>3005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5-4595-84A9-6D5B6C1BA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4BE-4C48-8334-FB410396E3F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4BE-4C48-8334-FB410396E3F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4BE-4C48-8334-FB410396E3F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4BE-4C48-8334-FB410396E3F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4BE-4C48-8334-FB410396E3F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4BE-4C48-8334-FB410396E3F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4BE-4C48-8334-FB410396E3F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4BE-4C48-8334-FB410396E3F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4BE-4C48-8334-FB410396E3F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4BE-4C48-8334-FB410396E3F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4BE-4C48-8334-FB410396E3F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4BE-4C48-8334-FB410396E3F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4BE-4C48-8334-FB410396E3F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4BE-4C48-8334-FB410396E3F9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4BE-4C48-8334-FB410396E3F9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4BE-4C48-8334-FB410396E3F9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4BE-4C48-8334-FB410396E3F9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4BE-4C48-8334-FB410396E3F9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4BE-4C48-8334-FB410396E3F9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4BE-4C48-8334-FB410396E3F9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4BE-4C48-8334-FB410396E3F9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4BE-4C48-8334-FB410396E3F9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4BE-4C48-8334-FB410396E3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4BE-4C48-8334-FB410396E3F9}"/>
            </c:ext>
          </c:extLst>
        </c:ser>
        <c:ser>
          <c:idx val="1"/>
          <c:order val="1"/>
          <c:tx>
            <c:strRef>
              <c:f>'7'!$H$12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4BE-4C48-8334-FB410396E3F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4BE-4C48-8334-FB410396E3F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4BE-4C48-8334-FB410396E3F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4BE-4C48-8334-FB410396E3F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4BE-4C48-8334-FB410396E3F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4BE-4C48-8334-FB410396E3F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4BE-4C48-8334-FB410396E3F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4BE-4C48-8334-FB410396E3F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4BE-4C48-8334-FB410396E3F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4BE-4C48-8334-FB410396E3F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4BE-4C48-8334-FB410396E3F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4BE-4C48-8334-FB410396E3F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4BE-4C48-8334-FB410396E3F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4BE-4C48-8334-FB410396E3F9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4BE-4C48-8334-FB410396E3F9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4BE-4C48-8334-FB410396E3F9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4BE-4C48-8334-FB410396E3F9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4BE-4C48-8334-FB410396E3F9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4BE-4C48-8334-FB410396E3F9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4BE-4C48-8334-FB410396E3F9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84BE-4C48-8334-FB410396E3F9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84BE-4C48-8334-FB410396E3F9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84BE-4C48-8334-FB410396E3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-250</c:v>
                </c:pt>
                <c:pt idx="2">
                  <c:v>700</c:v>
                </c:pt>
                <c:pt idx="3">
                  <c:v>165</c:v>
                </c:pt>
                <c:pt idx="4">
                  <c:v>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4BE-4C48-8334-FB410396E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0F-49A5-B23A-A6CA0165865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0F-49A5-B23A-A6CA0165865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0F-49A5-B23A-A6CA0165865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0F-49A5-B23A-A6CA0165865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00F-49A5-B23A-A6CA0165865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00F-49A5-B23A-A6CA0165865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00F-49A5-B23A-A6CA0165865A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00F-49A5-B23A-A6CA0165865A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00F-49A5-B23A-A6CA0165865A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00F-49A5-B23A-A6CA0165865A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00F-49A5-B23A-A6CA0165865A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00F-49A5-B23A-A6CA0165865A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00F-49A5-B23A-A6CA0165865A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00F-49A5-B23A-A6CA0165865A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0F-49A5-B23A-A6CA0165865A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0F-49A5-B23A-A6CA0165865A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0F-49A5-B23A-A6CA0165865A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0F-49A5-B23A-A6CA0165865A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0F-49A5-B23A-A6CA01658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00F-49A5-B23A-A6CA0165865A}"/>
            </c:ext>
          </c:extLst>
        </c:ser>
        <c:ser>
          <c:idx val="1"/>
          <c:order val="1"/>
          <c:tx>
            <c:strRef>
              <c:f>'7'!$C$12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00F-49A5-B23A-A6CA0165865A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00F-49A5-B23A-A6CA0165865A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00F-49A5-B23A-A6CA0165865A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00F-49A5-B23A-A6CA0165865A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00F-49A5-B23A-A6CA0165865A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00F-49A5-B23A-A6CA0165865A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00F-49A5-B23A-A6CA0165865A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00F-49A5-B23A-A6CA0165865A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00F-49A5-B23A-A6CA0165865A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00F-49A5-B23A-A6CA0165865A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00F-49A5-B23A-A6CA0165865A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00F-49A5-B23A-A6CA0165865A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00F-49A5-B23A-A6CA0165865A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00F-49A5-B23A-A6CA0165865A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00F-49A5-B23A-A6CA0165865A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00F-49A5-B23A-A6CA0165865A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00F-49A5-B23A-A6CA0165865A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00F-49A5-B23A-A6CA0165865A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00F-49A5-B23A-A6CA0165865A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00F-49A5-B23A-A6CA016586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'7'!$C$13:$C$26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120</c:v>
                </c:pt>
                <c:pt idx="2">
                  <c:v>800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00F-49A5-B23A-A6CA01658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9-4DB8-BC29-F10B0710DDC4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'8'!$C$5:$C$7</c:f>
              <c:numCache>
                <c:formatCode>_-* #,##0.00\ [$zł-415]_-;\-* #,##0.00\ [$zł-415]_-;_-* "-"??\ [$zł-415]_-;_-@_-</c:formatCode>
                <c:ptCount val="3"/>
                <c:pt idx="0">
                  <c:v>5400</c:v>
                </c:pt>
                <c:pt idx="1">
                  <c:v>3989.5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9-4DB8-BC29-F10B0710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C0-4CE3-80CF-2B6861441E1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C0-4CE3-80CF-2B6861441E1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C0-4CE3-80CF-2B6861441E1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C0-4CE3-80CF-2B6861441E1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C0-4CE3-80CF-2B6861441E1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C0-4CE3-80CF-2B6861441E1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7C0-4CE3-80CF-2B6861441E1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7C0-4CE3-80CF-2B6861441E1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7C0-4CE3-80CF-2B6861441E1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7C0-4CE3-80CF-2B6861441E1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7C0-4CE3-80CF-2B6861441E1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7C0-4CE3-80CF-2B6861441E1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7C0-4CE3-80CF-2B6861441E1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7C0-4CE3-80CF-2B6861441E19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C0-4CE3-80CF-2B6861441E19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C0-4CE3-80CF-2B6861441E19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7C0-4CE3-80CF-2B6861441E19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C0-4CE3-80CF-2B6861441E19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7C0-4CE3-80CF-2B6861441E19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C0-4CE3-80CF-2B6861441E19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7C0-4CE3-80CF-2B6861441E19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7C0-4CE3-80CF-2B6861441E19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7C0-4CE3-80CF-2B6861441E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7C0-4CE3-80CF-2B6861441E19}"/>
            </c:ext>
          </c:extLst>
        </c:ser>
        <c:ser>
          <c:idx val="1"/>
          <c:order val="1"/>
          <c:tx>
            <c:strRef>
              <c:f>'8'!$H$12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97C0-4CE3-80CF-2B6861441E19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7C0-4CE3-80CF-2B6861441E19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97C0-4CE3-80CF-2B6861441E19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97C0-4CE3-80CF-2B6861441E19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97C0-4CE3-80CF-2B6861441E19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97C0-4CE3-80CF-2B6861441E19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97C0-4CE3-80CF-2B6861441E19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97C0-4CE3-80CF-2B6861441E19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97C0-4CE3-80CF-2B6861441E19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97C0-4CE3-80CF-2B6861441E19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97C0-4CE3-80CF-2B6861441E19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97C0-4CE3-80CF-2B6861441E19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97C0-4CE3-80CF-2B6861441E19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97C0-4CE3-80CF-2B6861441E19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7C0-4CE3-80CF-2B6861441E19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7C0-4CE3-80CF-2B6861441E19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7C0-4CE3-80CF-2B6861441E19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7C0-4CE3-80CF-2B6861441E19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7C0-4CE3-80CF-2B6861441E19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7C0-4CE3-80CF-2B6861441E19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7C0-4CE3-80CF-2B6861441E19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7C0-4CE3-80CF-2B6861441E19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97C0-4CE3-80CF-2B6861441E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300</c:v>
                </c:pt>
                <c:pt idx="2">
                  <c:v>250</c:v>
                </c:pt>
                <c:pt idx="3">
                  <c:v>749.5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7C0-4CE3-80CF-2B6861441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86-481D-AAB5-C3D3E13BAB6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86-481D-AAB5-C3D3E13BAB6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86-481D-AAB5-C3D3E13BAB6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86-481D-AAB5-C3D3E13BAB6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86-481D-AAB5-C3D3E13BAB6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786-481D-AAB5-C3D3E13BAB6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786-481D-AAB5-C3D3E13BAB6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786-481D-AAB5-C3D3E13BAB6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786-481D-AAB5-C3D3E13BAB6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786-481D-AAB5-C3D3E13BAB6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786-481D-AAB5-C3D3E13BAB6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786-481D-AAB5-C3D3E13BAB6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786-481D-AAB5-C3D3E13BAB6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786-481D-AAB5-C3D3E13BAB66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86-481D-AAB5-C3D3E13BAB66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86-481D-AAB5-C3D3E13BAB66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86-481D-AAB5-C3D3E13BAB66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86-481D-AAB5-C3D3E13BAB66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86-481D-AAB5-C3D3E13BAB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786-481D-AAB5-C3D3E13BAB66}"/>
            </c:ext>
          </c:extLst>
        </c:ser>
        <c:ser>
          <c:idx val="1"/>
          <c:order val="1"/>
          <c:tx>
            <c:strRef>
              <c:f>'8'!$C$12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786-481D-AAB5-C3D3E13BAB66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786-481D-AAB5-C3D3E13BAB66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786-481D-AAB5-C3D3E13BAB66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786-481D-AAB5-C3D3E13BAB66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786-481D-AAB5-C3D3E13BAB66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786-481D-AAB5-C3D3E13BAB66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786-481D-AAB5-C3D3E13BAB66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786-481D-AAB5-C3D3E13BAB66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786-481D-AAB5-C3D3E13BAB66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786-481D-AAB5-C3D3E13BAB66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786-481D-AAB5-C3D3E13BAB66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786-481D-AAB5-C3D3E13BAB66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786-481D-AAB5-C3D3E13BAB66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786-481D-AAB5-C3D3E13BAB66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786-481D-AAB5-C3D3E13BAB66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786-481D-AAB5-C3D3E13BAB66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786-481D-AAB5-C3D3E13BAB66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786-481D-AAB5-C3D3E13BAB66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786-481D-AAB5-C3D3E13BAB66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786-481D-AAB5-C3D3E13BAB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'8'!$C$13:$C$26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786-481D-AAB5-C3D3E13BA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1D-44C6-8960-97D20752E26C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'9'!$C$5:$C$7</c:f>
              <c:numCache>
                <c:formatCode>_-* #,##0.00\ [$zł-415]_-;\-* #,##0.00\ [$zł-415]_-;_-* "-"??\ [$zł-415]_-;_-@_-</c:formatCode>
                <c:ptCount val="3"/>
                <c:pt idx="0">
                  <c:v>4500</c:v>
                </c:pt>
                <c:pt idx="1">
                  <c:v>2748.5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1D-44C6-8960-97D20752E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29-43DF-BF9E-7BEDF827C8C2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29-43DF-BF9E-7BEDF827C8C2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729-43DF-BF9E-7BEDF827C8C2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29-43DF-BF9E-7BEDF827C8C2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729-43DF-BF9E-7BEDF827C8C2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729-43DF-BF9E-7BEDF827C8C2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729-43DF-BF9E-7BEDF827C8C2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729-43DF-BF9E-7BEDF827C8C2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729-43DF-BF9E-7BEDF827C8C2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729-43DF-BF9E-7BEDF827C8C2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729-43DF-BF9E-7BEDF827C8C2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729-43DF-BF9E-7BEDF827C8C2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729-43DF-BF9E-7BEDF827C8C2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729-43DF-BF9E-7BEDF827C8C2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29-43DF-BF9E-7BEDF827C8C2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29-43DF-BF9E-7BEDF827C8C2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729-43DF-BF9E-7BEDF827C8C2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29-43DF-BF9E-7BEDF827C8C2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729-43DF-BF9E-7BEDF827C8C2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29-43DF-BF9E-7BEDF827C8C2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729-43DF-BF9E-7BEDF827C8C2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729-43DF-BF9E-7BEDF827C8C2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729-43DF-BF9E-7BEDF827C8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729-43DF-BF9E-7BEDF827C8C2}"/>
            </c:ext>
          </c:extLst>
        </c:ser>
        <c:ser>
          <c:idx val="1"/>
          <c:order val="1"/>
          <c:tx>
            <c:strRef>
              <c:f>'9'!$H$12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6729-43DF-BF9E-7BEDF827C8C2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6729-43DF-BF9E-7BEDF827C8C2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6729-43DF-BF9E-7BEDF827C8C2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6729-43DF-BF9E-7BEDF827C8C2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6729-43DF-BF9E-7BEDF827C8C2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6729-43DF-BF9E-7BEDF827C8C2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729-43DF-BF9E-7BEDF827C8C2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729-43DF-BF9E-7BEDF827C8C2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6729-43DF-BF9E-7BEDF827C8C2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6729-43DF-BF9E-7BEDF827C8C2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6729-43DF-BF9E-7BEDF827C8C2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6729-43DF-BF9E-7BEDF827C8C2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6729-43DF-BF9E-7BEDF827C8C2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6729-43DF-BF9E-7BEDF827C8C2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729-43DF-BF9E-7BEDF827C8C2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729-43DF-BF9E-7BEDF827C8C2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729-43DF-BF9E-7BEDF827C8C2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729-43DF-BF9E-7BEDF827C8C2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729-43DF-BF9E-7BEDF827C8C2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729-43DF-BF9E-7BEDF827C8C2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729-43DF-BF9E-7BEDF827C8C2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729-43DF-BF9E-7BEDF827C8C2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729-43DF-BF9E-7BEDF827C8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20</c:v>
                </c:pt>
                <c:pt idx="3">
                  <c:v>538.5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6729-43DF-BF9E-7BEDF827C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57-4FD3-9F2D-18EBB42D321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57-4FD3-9F2D-18EBB42D321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D57-4FD3-9F2D-18EBB42D321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D57-4FD3-9F2D-18EBB42D321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D57-4FD3-9F2D-18EBB42D321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D57-4FD3-9F2D-18EBB42D321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D57-4FD3-9F2D-18EBB42D321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D57-4FD3-9F2D-18EBB42D321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D57-4FD3-9F2D-18EBB42D321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D57-4FD3-9F2D-18EBB42D321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D57-4FD3-9F2D-18EBB42D321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D57-4FD3-9F2D-18EBB42D321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D57-4FD3-9F2D-18EBB42D321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D57-4FD3-9F2D-18EBB42D321F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57-4FD3-9F2D-18EBB42D321F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57-4FD3-9F2D-18EBB42D321F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57-4FD3-9F2D-18EBB42D321F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D57-4FD3-9F2D-18EBB42D321F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57-4FD3-9F2D-18EBB42D32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D57-4FD3-9F2D-18EBB42D321F}"/>
            </c:ext>
          </c:extLst>
        </c:ser>
        <c:ser>
          <c:idx val="1"/>
          <c:order val="1"/>
          <c:tx>
            <c:strRef>
              <c:f>'9'!$C$12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D57-4FD3-9F2D-18EBB42D321F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D57-4FD3-9F2D-18EBB42D321F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D57-4FD3-9F2D-18EBB42D321F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D57-4FD3-9F2D-18EBB42D321F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D57-4FD3-9F2D-18EBB42D321F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D57-4FD3-9F2D-18EBB42D321F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D57-4FD3-9F2D-18EBB42D321F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D57-4FD3-9F2D-18EBB42D321F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D57-4FD3-9F2D-18EBB42D321F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D57-4FD3-9F2D-18EBB42D321F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D57-4FD3-9F2D-18EBB42D321F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D57-4FD3-9F2D-18EBB42D321F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D57-4FD3-9F2D-18EBB42D321F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D57-4FD3-9F2D-18EBB42D321F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D57-4FD3-9F2D-18EBB42D321F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D57-4FD3-9F2D-18EBB42D321F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D57-4FD3-9F2D-18EBB42D321F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D57-4FD3-9F2D-18EBB42D321F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D57-4FD3-9F2D-18EBB42D321F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D57-4FD3-9F2D-18EBB42D32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'9'!$C$13:$C$26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D57-4FD3-9F2D-18EBB42D3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D9-4EA0-ADEC-3F450466C9AD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'10'!$C$5:$C$7</c:f>
              <c:numCache>
                <c:formatCode>_-* #,##0.00\ [$zł-415]_-;\-* #,##0.00\ [$zł-415]_-;_-* "-"??\ [$zł-415]_-;_-@_-</c:formatCode>
                <c:ptCount val="3"/>
                <c:pt idx="0">
                  <c:v>4500</c:v>
                </c:pt>
                <c:pt idx="1">
                  <c:v>2830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D9-4EA0-ADEC-3F450466C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85-4A67-AF15-8EC6361BBE9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85-4A67-AF15-8EC6361BBE9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85-4A67-AF15-8EC6361BBE9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85-4A67-AF15-8EC6361BBE9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85-4A67-AF15-8EC6361BBE9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85-4A67-AF15-8EC6361BBE9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85-4A67-AF15-8EC6361BBE9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785-4A67-AF15-8EC6361BBE9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785-4A67-AF15-8EC6361BBE9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785-4A67-AF15-8EC6361BBE9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785-4A67-AF15-8EC6361BBE9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785-4A67-AF15-8EC6361BBE9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785-4A67-AF15-8EC6361BBE9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785-4A67-AF15-8EC6361BBE93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85-4A67-AF15-8EC6361BBE93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85-4A67-AF15-8EC6361BBE93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85-4A67-AF15-8EC6361BBE93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85-4A67-AF15-8EC6361BBE93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85-4A67-AF15-8EC6361BBE93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85-4A67-AF15-8EC6361BBE93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85-4A67-AF15-8EC6361BBE93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85-4A67-AF15-8EC6361BBE93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85-4A67-AF15-8EC6361BBE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785-4A67-AF15-8EC6361BBE93}"/>
            </c:ext>
          </c:extLst>
        </c:ser>
        <c:ser>
          <c:idx val="1"/>
          <c:order val="1"/>
          <c:tx>
            <c:strRef>
              <c:f>'10'!$H$12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785-4A67-AF15-8EC6361BBE93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785-4A67-AF15-8EC6361BBE93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785-4A67-AF15-8EC6361BBE93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785-4A67-AF15-8EC6361BBE93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785-4A67-AF15-8EC6361BBE93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785-4A67-AF15-8EC6361BBE93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785-4A67-AF15-8EC6361BBE93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785-4A67-AF15-8EC6361BBE93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785-4A67-AF15-8EC6361BBE93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785-4A67-AF15-8EC6361BBE93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785-4A67-AF15-8EC6361BBE93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785-4A67-AF15-8EC6361BBE93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785-4A67-AF15-8EC6361BBE93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785-4A67-AF15-8EC6361BBE93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785-4A67-AF15-8EC6361BBE93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785-4A67-AF15-8EC6361BBE93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785-4A67-AF15-8EC6361BBE93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785-4A67-AF15-8EC6361BBE93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785-4A67-AF15-8EC6361BBE93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785-4A67-AF15-8EC6361BBE93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785-4A67-AF15-8EC6361BBE93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785-4A67-AF15-8EC6361BBE93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785-4A67-AF15-8EC6361BBE9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0</c:v>
                </c:pt>
                <c:pt idx="2">
                  <c:v>40</c:v>
                </c:pt>
                <c:pt idx="3">
                  <c:v>600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785-4A67-AF15-8EC6361BB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C6-48FB-8130-C541CD9D7F47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C6-48FB-8130-C541CD9D7F47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C6-48FB-8130-C541CD9D7F47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C6-48FB-8130-C541CD9D7F47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C6-48FB-8130-C541CD9D7F47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AC6-48FB-8130-C541CD9D7F47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AC6-48FB-8130-C541CD9D7F47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AC6-48FB-8130-C541CD9D7F47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AC6-48FB-8130-C541CD9D7F47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AC6-48FB-8130-C541CD9D7F47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1AC6-48FB-8130-C541CD9D7F47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1AC6-48FB-8130-C541CD9D7F47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1AC6-48FB-8130-C541CD9D7F47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1AC6-48FB-8130-C541CD9D7F47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C6-48FB-8130-C541CD9D7F47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AC6-48FB-8130-C541CD9D7F47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C6-48FB-8130-C541CD9D7F47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AC6-48FB-8130-C541CD9D7F47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C6-48FB-8130-C541CD9D7F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AC6-48FB-8130-C541CD9D7F47}"/>
            </c:ext>
          </c:extLst>
        </c:ser>
        <c:ser>
          <c:idx val="1"/>
          <c:order val="1"/>
          <c:tx>
            <c:strRef>
              <c:f>'10'!$C$12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AC6-48FB-8130-C541CD9D7F47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AC6-48FB-8130-C541CD9D7F47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AC6-48FB-8130-C541CD9D7F47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AC6-48FB-8130-C541CD9D7F47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1AC6-48FB-8130-C541CD9D7F47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1AC6-48FB-8130-C541CD9D7F47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1AC6-48FB-8130-C541CD9D7F47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1AC6-48FB-8130-C541CD9D7F47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1AC6-48FB-8130-C541CD9D7F47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1AC6-48FB-8130-C541CD9D7F47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1AC6-48FB-8130-C541CD9D7F47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1AC6-48FB-8130-C541CD9D7F47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1AC6-48FB-8130-C541CD9D7F47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1AC6-48FB-8130-C541CD9D7F47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AC6-48FB-8130-C541CD9D7F47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AC6-48FB-8130-C541CD9D7F47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AC6-48FB-8130-C541CD9D7F47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AC6-48FB-8130-C541CD9D7F47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AC6-48FB-8130-C541CD9D7F47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AC6-48FB-8130-C541CD9D7F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'10'!$C$13:$C$26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1AC6-48FB-8130-C541CD9D7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1-4AB3-94F9-6ED283C347F2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'11'!$C$5:$C$7</c:f>
              <c:numCache>
                <c:formatCode>_-* #,##0.00\ [$zł-415]_-;\-* #,##0.00\ [$zł-415]_-;_-* "-"??\ [$zł-415]_-;_-@_-</c:formatCode>
                <c:ptCount val="3"/>
                <c:pt idx="0">
                  <c:v>4900</c:v>
                </c:pt>
                <c:pt idx="1">
                  <c:v>3500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51-4AB3-94F9-6ED283C34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4D-4F67-873E-16BAE23B9E5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4D-4F67-873E-16BAE23B9E5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04D-4F67-873E-16BAE23B9E5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04D-4F67-873E-16BAE23B9E5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04D-4F67-873E-16BAE23B9E5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04D-4F67-873E-16BAE23B9E5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04D-4F67-873E-16BAE23B9E5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04D-4F67-873E-16BAE23B9E5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04D-4F67-873E-16BAE23B9E5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04D-4F67-873E-16BAE23B9E56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04D-4F67-873E-16BAE23B9E56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04D-4F67-873E-16BAE23B9E56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04D-4F67-873E-16BAE23B9E56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04D-4F67-873E-16BAE23B9E56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4D-4F67-873E-16BAE23B9E56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4D-4F67-873E-16BAE23B9E56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4D-4F67-873E-16BAE23B9E56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4D-4F67-873E-16BAE23B9E56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04D-4F67-873E-16BAE23B9E56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4D-4F67-873E-16BAE23B9E56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04D-4F67-873E-16BAE23B9E56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04D-4F67-873E-16BAE23B9E56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04D-4F67-873E-16BAE23B9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04D-4F67-873E-16BAE23B9E56}"/>
            </c:ext>
          </c:extLst>
        </c:ser>
        <c:ser>
          <c:idx val="1"/>
          <c:order val="1"/>
          <c:tx>
            <c:strRef>
              <c:f>'11'!$H$12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04D-4F67-873E-16BAE23B9E5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04D-4F67-873E-16BAE23B9E5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04D-4F67-873E-16BAE23B9E5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04D-4F67-873E-16BAE23B9E5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04D-4F67-873E-16BAE23B9E5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04D-4F67-873E-16BAE23B9E5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04D-4F67-873E-16BAE23B9E5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04D-4F67-873E-16BAE23B9E5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04D-4F67-873E-16BAE23B9E5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04D-4F67-873E-16BAE23B9E56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04D-4F67-873E-16BAE23B9E56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04D-4F67-873E-16BAE23B9E56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04D-4F67-873E-16BAE23B9E56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04D-4F67-873E-16BAE23B9E56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04D-4F67-873E-16BAE23B9E56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04D-4F67-873E-16BAE23B9E56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04D-4F67-873E-16BAE23B9E56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04D-4F67-873E-16BAE23B9E56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04D-4F67-873E-16BAE23B9E56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04D-4F67-873E-16BAE23B9E56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04D-4F67-873E-16BAE23B9E56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04D-4F67-873E-16BAE23B9E56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04D-4F67-873E-16BAE23B9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158</c:v>
                </c:pt>
                <c:pt idx="2">
                  <c:v>214</c:v>
                </c:pt>
                <c:pt idx="3">
                  <c:v>506</c:v>
                </c:pt>
                <c:pt idx="4">
                  <c:v>133</c:v>
                </c:pt>
                <c:pt idx="5">
                  <c:v>47</c:v>
                </c:pt>
                <c:pt idx="6">
                  <c:v>234</c:v>
                </c:pt>
                <c:pt idx="7">
                  <c:v>0</c:v>
                </c:pt>
                <c:pt idx="8">
                  <c:v>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04D-4F67-873E-16BAE23B9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FA-4209-99DE-37AABA760C8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2FA-4209-99DE-37AABA760C8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2FA-4209-99DE-37AABA760C8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2FA-4209-99DE-37AABA760C8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2FA-4209-99DE-37AABA760C8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2FA-4209-99DE-37AABA760C8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2FA-4209-99DE-37AABA760C8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2FA-4209-99DE-37AABA760C8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2FA-4209-99DE-37AABA760C8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2FA-4209-99DE-37AABA760C8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2FA-4209-99DE-37AABA760C8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2FA-4209-99DE-37AABA760C8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2FA-4209-99DE-37AABA760C8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2FA-4209-99DE-37AABA760C83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FA-4209-99DE-37AABA760C83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FA-4209-99DE-37AABA760C83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FA-4209-99DE-37AABA760C83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2FA-4209-99DE-37AABA760C83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2FA-4209-99DE-37AABA760C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2FA-4209-99DE-37AABA760C83}"/>
            </c:ext>
          </c:extLst>
        </c:ser>
        <c:ser>
          <c:idx val="1"/>
          <c:order val="1"/>
          <c:tx>
            <c:strRef>
              <c:f>'11'!$C$12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2FA-4209-99DE-37AABA760C83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2FA-4209-99DE-37AABA760C83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2FA-4209-99DE-37AABA760C83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2FA-4209-99DE-37AABA760C83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32FA-4209-99DE-37AABA760C83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32FA-4209-99DE-37AABA760C83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32FA-4209-99DE-37AABA760C83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32FA-4209-99DE-37AABA760C83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32FA-4209-99DE-37AABA760C83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32FA-4209-99DE-37AABA760C83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32FA-4209-99DE-37AABA760C83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32FA-4209-99DE-37AABA760C83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32FA-4209-99DE-37AABA760C83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32FA-4209-99DE-37AABA760C83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2FA-4209-99DE-37AABA760C83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2FA-4209-99DE-37AABA760C83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2FA-4209-99DE-37AABA760C83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2FA-4209-99DE-37AABA760C83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2FA-4209-99DE-37AABA760C83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2FA-4209-99DE-37AABA760C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'11'!$C$13:$C$26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32FA-4209-99DE-37AABA760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Planned</c:v>
          </c:tx>
          <c:spPr>
            <a:solidFill>
              <a:schemeClr val="accent5">
                <a:shade val="76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'12'!$B$5:$B$7</c:f>
              <c:numCache>
                <c:formatCode>_-* #,##0.00\ [$zł-415]_-;\-* #,##0.00\ [$zł-415]_-;_-* "-"??\ [$zł-415]_-;_-@_-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7-405C-BDA1-CAFBFB20D057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5">
                <a:tint val="77000"/>
              </a:schemeClr>
            </a:solidFill>
            <a:ln>
              <a:noFill/>
            </a:ln>
            <a:effectLst/>
          </c:spPr>
          <c:invertIfNegative val="0"/>
          <c:val>
            <c:numRef>
              <c:f>'12'!$C$5:$C$7</c:f>
              <c:numCache>
                <c:formatCode>_-* #,##0.00\ [$zł-415]_-;\-* #,##0.00\ [$zł-415]_-;_-* "-"??\ [$zł-415]_-;_-@_-</c:formatCode>
                <c:ptCount val="3"/>
                <c:pt idx="0">
                  <c:v>6500</c:v>
                </c:pt>
                <c:pt idx="1">
                  <c:v>4080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7-405C-BDA1-CAFBFB20D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4850896"/>
        <c:axId val="1914862896"/>
      </c:barChart>
      <c:catAx>
        <c:axId val="191485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62896"/>
        <c:crosses val="autoZero"/>
        <c:auto val="1"/>
        <c:lblAlgn val="ctr"/>
        <c:lblOffset val="100"/>
        <c:noMultiLvlLbl val="0"/>
      </c:catAx>
      <c:valAx>
        <c:axId val="19148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\ [$zł-415]_-;\-* #,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91485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6A-45EC-BEE8-F68E0B9C5F7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6A-45EC-BEE8-F68E0B9C5F7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F6A-45EC-BEE8-F68E0B9C5F7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F6A-45EC-BEE8-F68E0B9C5F7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F6A-45EC-BEE8-F68E0B9C5F7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F6A-45EC-BEE8-F68E0B9C5F7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F6A-45EC-BEE8-F68E0B9C5F7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F6A-45EC-BEE8-F68E0B9C5F7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F6A-45EC-BEE8-F68E0B9C5F7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F6A-45EC-BEE8-F68E0B9C5F76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F6A-45EC-BEE8-F68E0B9C5F76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F6A-45EC-BEE8-F68E0B9C5F76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F6A-45EC-BEE8-F68E0B9C5F76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F6A-45EC-BEE8-F68E0B9C5F76}"/>
              </c:ext>
            </c:extLst>
          </c:dPt>
          <c:dLbls>
            <c:dLbl>
              <c:idx val="0"/>
              <c:layout>
                <c:manualLayout>
                  <c:x val="0.14466606101034815"/>
                  <c:y val="-1.186262381719986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6A-45EC-BEE8-F68E0B9C5F76}"/>
                </c:ext>
              </c:extLst>
            </c:dLbl>
            <c:dLbl>
              <c:idx val="1"/>
              <c:layout>
                <c:manualLayout>
                  <c:x val="9.8982041743922486E-2"/>
                  <c:y val="-7.978133846375523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6A-45EC-BEE8-F68E0B9C5F76}"/>
                </c:ext>
              </c:extLst>
            </c:dLbl>
            <c:dLbl>
              <c:idx val="2"/>
              <c:layout>
                <c:manualLayout>
                  <c:x val="3.2994013914640782E-2"/>
                  <c:y val="-0.1064968679858117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6A-45EC-BEE8-F68E0B9C5F76}"/>
                </c:ext>
              </c:extLst>
            </c:dLbl>
            <c:dLbl>
              <c:idx val="3"/>
              <c:layout>
                <c:manualLayout>
                  <c:x val="-0.11421004816606441"/>
                  <c:y val="3.54989559952705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6A-45EC-BEE8-F68E0B9C5F76}"/>
                </c:ext>
              </c:extLst>
            </c:dLbl>
            <c:dLbl>
              <c:idx val="4"/>
              <c:layout>
                <c:manualLayout>
                  <c:x val="-0.15481806529177619"/>
                  <c:y val="7.1094608627371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6A-45EC-BEE8-F68E0B9C5F76}"/>
                </c:ext>
              </c:extLst>
            </c:dLbl>
            <c:dLbl>
              <c:idx val="5"/>
              <c:layout>
                <c:manualLayout>
                  <c:x val="0.23603409954319979"/>
                  <c:y val="0.1035037883645054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F6A-45EC-BEE8-F68E0B9C5F76}"/>
                </c:ext>
              </c:extLst>
            </c:dLbl>
            <c:dLbl>
              <c:idx val="6"/>
              <c:layout>
                <c:manualLayout>
                  <c:x val="0.21319208990998689"/>
                  <c:y val="7.682576600781587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F6A-45EC-BEE8-F68E0B9C5F76}"/>
                </c:ext>
              </c:extLst>
            </c:dLbl>
            <c:dLbl>
              <c:idx val="7"/>
              <c:layout>
                <c:manualLayout>
                  <c:x val="-0.21826809205070086"/>
                  <c:y val="-0.1569295432746446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F6A-45EC-BEE8-F68E0B9C5F76}"/>
                </c:ext>
              </c:extLst>
            </c:dLbl>
            <c:dLbl>
              <c:idx val="8"/>
              <c:layout>
                <c:manualLayout>
                  <c:x val="2.2521062411244856E-2"/>
                  <c:y val="6.593255690007375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F6A-45EC-BEE8-F68E0B9C5F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'12'!$G$13:$G$26</c:f>
              <c:numCache>
                <c:formatCode>_-* #,##0.00\ [$zł-415]_-;\-* #,##0.00\ [$zł-415]_-;_-* "-"??\ [$zł-415]_-;_-@_-</c:formatCode>
                <c:ptCount val="14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F6A-45EC-BEE8-F68E0B9C5F76}"/>
            </c:ext>
          </c:extLst>
        </c:ser>
        <c:ser>
          <c:idx val="1"/>
          <c:order val="1"/>
          <c:tx>
            <c:strRef>
              <c:f>'12'!$H$12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8F6A-45EC-BEE8-F68E0B9C5F76}"/>
              </c:ext>
            </c:extLst>
          </c:dPt>
          <c:dPt>
            <c:idx val="1"/>
            <c:bubble3D val="0"/>
            <c:spPr>
              <a:solidFill>
                <a:schemeClr val="accent2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8F6A-45EC-BEE8-F68E0B9C5F76}"/>
              </c:ext>
            </c:extLst>
          </c:dPt>
          <c:dPt>
            <c:idx val="2"/>
            <c:bubble3D val="0"/>
            <c:spPr>
              <a:solidFill>
                <a:schemeClr val="accent2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8F6A-45EC-BEE8-F68E0B9C5F76}"/>
              </c:ext>
            </c:extLst>
          </c:dPt>
          <c:dPt>
            <c:idx val="3"/>
            <c:bubble3D val="0"/>
            <c:spPr>
              <a:solidFill>
                <a:schemeClr val="accent2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8F6A-45EC-BEE8-F68E0B9C5F76}"/>
              </c:ext>
            </c:extLst>
          </c:dPt>
          <c:dPt>
            <c:idx val="4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8F6A-45EC-BEE8-F68E0B9C5F76}"/>
              </c:ext>
            </c:extLst>
          </c:dPt>
          <c:dPt>
            <c:idx val="5"/>
            <c:bubble3D val="0"/>
            <c:spPr>
              <a:solidFill>
                <a:schemeClr val="accent2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8F6A-45EC-BEE8-F68E0B9C5F76}"/>
              </c:ext>
            </c:extLst>
          </c:dPt>
          <c:dPt>
            <c:idx val="6"/>
            <c:bubble3D val="0"/>
            <c:spPr>
              <a:solidFill>
                <a:schemeClr val="accent2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8F6A-45EC-BEE8-F68E0B9C5F76}"/>
              </c:ext>
            </c:extLst>
          </c:dPt>
          <c:dPt>
            <c:idx val="7"/>
            <c:bubble3D val="0"/>
            <c:spPr>
              <a:solidFill>
                <a:schemeClr val="accent2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8F6A-45EC-BEE8-F68E0B9C5F76}"/>
              </c:ext>
            </c:extLst>
          </c:dPt>
          <c:dPt>
            <c:idx val="8"/>
            <c:bubble3D val="0"/>
            <c:spPr>
              <a:solidFill>
                <a:schemeClr val="accent2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8F6A-45EC-BEE8-F68E0B9C5F76}"/>
              </c:ext>
            </c:extLst>
          </c:dPt>
          <c:dPt>
            <c:idx val="9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8F6A-45EC-BEE8-F68E0B9C5F76}"/>
              </c:ext>
            </c:extLst>
          </c:dPt>
          <c:dPt>
            <c:idx val="10"/>
            <c:bubble3D val="0"/>
            <c:spPr>
              <a:solidFill>
                <a:schemeClr val="accent2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8F6A-45EC-BEE8-F68E0B9C5F76}"/>
              </c:ext>
            </c:extLst>
          </c:dPt>
          <c:dPt>
            <c:idx val="11"/>
            <c:bubble3D val="0"/>
            <c:spPr>
              <a:solidFill>
                <a:schemeClr val="accent2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8F6A-45EC-BEE8-F68E0B9C5F76}"/>
              </c:ext>
            </c:extLst>
          </c:dPt>
          <c:dPt>
            <c:idx val="12"/>
            <c:bubble3D val="0"/>
            <c:spPr>
              <a:solidFill>
                <a:schemeClr val="accent2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8F6A-45EC-BEE8-F68E0B9C5F76}"/>
              </c:ext>
            </c:extLst>
          </c:dPt>
          <c:dPt>
            <c:idx val="13"/>
            <c:bubble3D val="0"/>
            <c:spPr>
              <a:solidFill>
                <a:schemeClr val="accent2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8F6A-45EC-BEE8-F68E0B9C5F76}"/>
              </c:ext>
            </c:extLst>
          </c:dPt>
          <c:dLbls>
            <c:dLbl>
              <c:idx val="0"/>
              <c:layout>
                <c:manualLayout>
                  <c:x val="5.3298022477496633E-2"/>
                  <c:y val="-0.1804530263092918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F6A-45EC-BEE8-F68E0B9C5F76}"/>
                </c:ext>
              </c:extLst>
            </c:dLbl>
            <c:dLbl>
              <c:idx val="1"/>
              <c:layout>
                <c:manualLayout>
                  <c:x val="0.19542608241748807"/>
                  <c:y val="1.482612318514526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F6A-45EC-BEE8-F68E0B9C5F76}"/>
                </c:ext>
              </c:extLst>
            </c:dLbl>
            <c:dLbl>
              <c:idx val="2"/>
              <c:layout>
                <c:manualLayout>
                  <c:x val="0.12436205244749235"/>
                  <c:y val="8.283089732229802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8F6A-45EC-BEE8-F68E0B9C5F76}"/>
                </c:ext>
              </c:extLst>
            </c:dLbl>
            <c:dLbl>
              <c:idx val="3"/>
              <c:layout>
                <c:manualLayout>
                  <c:x val="-0.13705205779927729"/>
                  <c:y val="7.39561583234801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8F6A-45EC-BEE8-F68E0B9C5F76}"/>
                </c:ext>
              </c:extLst>
            </c:dLbl>
            <c:dLbl>
              <c:idx val="4"/>
              <c:layout>
                <c:manualLayout>
                  <c:x val="-9.3906039603208535E-2"/>
                  <c:y val="-6.81068622344658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8F6A-45EC-BEE8-F68E0B9C5F76}"/>
                </c:ext>
              </c:extLst>
            </c:dLbl>
            <c:dLbl>
              <c:idx val="5"/>
              <c:layout>
                <c:manualLayout>
                  <c:x val="0.23095809740248577"/>
                  <c:y val="7.67987212492066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8F6A-45EC-BEE8-F68E0B9C5F76}"/>
                </c:ext>
              </c:extLst>
            </c:dLbl>
            <c:dLbl>
              <c:idx val="6"/>
              <c:layout>
                <c:manualLayout>
                  <c:x val="-0.14720406208070524"/>
                  <c:y val="-2.3644579647513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8F6A-45EC-BEE8-F68E0B9C5F76}"/>
                </c:ext>
              </c:extLst>
            </c:dLbl>
            <c:dLbl>
              <c:idx val="7"/>
              <c:layout>
                <c:manualLayout>
                  <c:x val="-2.2842009633212926E-2"/>
                  <c:y val="-8.283089732229791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8F6A-45EC-BEE8-F68E0B9C5F76}"/>
                </c:ext>
              </c:extLst>
            </c:dLbl>
            <c:dLbl>
              <c:idx val="8"/>
              <c:layout>
                <c:manualLayout>
                  <c:x val="0.17258407278427509"/>
                  <c:y val="-5.0470415598670715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8F6A-45EC-BEE8-F68E0B9C5F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'12'!$H$13:$H$26</c:f>
              <c:numCache>
                <c:formatCode>_-* #,##0.00\ [$zł-415]_-;\-* #,##0.00\ [$zł-415]_-;_-* "-"??\ [$zł-415]_-;_-@_-</c:formatCode>
                <c:ptCount val="14"/>
                <c:pt idx="0">
                  <c:v>2000</c:v>
                </c:pt>
                <c:pt idx="1">
                  <c:v>120</c:v>
                </c:pt>
                <c:pt idx="2">
                  <c:v>450</c:v>
                </c:pt>
                <c:pt idx="3">
                  <c:v>700</c:v>
                </c:pt>
                <c:pt idx="4">
                  <c:v>10</c:v>
                </c:pt>
                <c:pt idx="5">
                  <c:v>0</c:v>
                </c:pt>
                <c:pt idx="6">
                  <c:v>700</c:v>
                </c:pt>
                <c:pt idx="7">
                  <c:v>100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8F6A-45EC-BEE8-F68E0B9C5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 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59-4E7D-A1E3-8E1662C540CC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59-4E7D-A1E3-8E1662C540CC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59-4E7D-A1E3-8E1662C540CC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359-4E7D-A1E3-8E1662C540CC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359-4E7D-A1E3-8E1662C540CC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359-4E7D-A1E3-8E1662C540CC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359-4E7D-A1E3-8E1662C540CC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359-4E7D-A1E3-8E1662C540CC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359-4E7D-A1E3-8E1662C540CC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359-4E7D-A1E3-8E1662C540CC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359-4E7D-A1E3-8E1662C540CC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359-4E7D-A1E3-8E1662C540CC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359-4E7D-A1E3-8E1662C540CC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359-4E7D-A1E3-8E1662C540CC}"/>
              </c:ext>
            </c:extLst>
          </c:dPt>
          <c:dLbls>
            <c:dLbl>
              <c:idx val="1"/>
              <c:layout>
                <c:manualLayout>
                  <c:x val="0.23842992363720936"/>
                  <c:y val="5.01753114692302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59-4E7D-A1E3-8E1662C540CC}"/>
                </c:ext>
              </c:extLst>
            </c:dLbl>
            <c:dLbl>
              <c:idx val="2"/>
              <c:layout>
                <c:manualLayout>
                  <c:x val="0.16815584088097921"/>
                  <c:y val="-0.1328170009479624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59-4E7D-A1E3-8E1662C540CC}"/>
                </c:ext>
              </c:extLst>
            </c:dLbl>
            <c:dLbl>
              <c:idx val="3"/>
              <c:layout>
                <c:manualLayout>
                  <c:x val="6.5254505416499339E-2"/>
                  <c:y val="-8.854466729864174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59-4E7D-A1E3-8E1662C540CC}"/>
                </c:ext>
              </c:extLst>
            </c:dLbl>
            <c:dLbl>
              <c:idx val="4"/>
              <c:layout>
                <c:manualLayout>
                  <c:x val="0.14807753152205641"/>
                  <c:y val="-1.770893345972832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359-4E7D-A1E3-8E1662C540CC}"/>
                </c:ext>
              </c:extLst>
            </c:dLbl>
            <c:dLbl>
              <c:idx val="5"/>
              <c:layout>
                <c:manualLayout>
                  <c:x val="-0.24344950097694018"/>
                  <c:y val="7.378722274886798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59-4E7D-A1E3-8E1662C540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'12'!$B$13:$B$26</c:f>
              <c:numCache>
                <c:formatCode>_-* #,##0.00\ [$zł-415]_-;\-* #,##0.00\ [$zł-415]_-;_-* "-"??\ [$zł-415]_-;_-@_-</c:formatCode>
                <c:ptCount val="14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359-4E7D-A1E3-8E1662C540CC}"/>
            </c:ext>
          </c:extLst>
        </c:ser>
        <c:ser>
          <c:idx val="1"/>
          <c:order val="1"/>
          <c:tx>
            <c:strRef>
              <c:f>'12'!$C$12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E359-4E7D-A1E3-8E1662C540CC}"/>
              </c:ext>
            </c:extLst>
          </c:dPt>
          <c:dPt>
            <c:idx val="1"/>
            <c:bubble3D val="0"/>
            <c:spPr>
              <a:solidFill>
                <a:schemeClr val="accent1">
                  <a:shade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E359-4E7D-A1E3-8E1662C540CC}"/>
              </c:ext>
            </c:extLst>
          </c:dPt>
          <c:dPt>
            <c:idx val="2"/>
            <c:bubble3D val="0"/>
            <c:spPr>
              <a:solidFill>
                <a:schemeClr val="accent1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E359-4E7D-A1E3-8E1662C540CC}"/>
              </c:ext>
            </c:extLst>
          </c:dPt>
          <c:dPt>
            <c:idx val="3"/>
            <c:bubble3D val="0"/>
            <c:spPr>
              <a:solidFill>
                <a:schemeClr val="accent1">
                  <a:shade val="6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E359-4E7D-A1E3-8E1662C540CC}"/>
              </c:ext>
            </c:extLst>
          </c:dPt>
          <c:dPt>
            <c:idx val="4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E359-4E7D-A1E3-8E1662C540CC}"/>
              </c:ext>
            </c:extLst>
          </c:dPt>
          <c:dPt>
            <c:idx val="5"/>
            <c:bubble3D val="0"/>
            <c:spPr>
              <a:solidFill>
                <a:schemeClr val="accent1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E359-4E7D-A1E3-8E1662C540CC}"/>
              </c:ext>
            </c:extLst>
          </c:dPt>
          <c:dPt>
            <c:idx val="6"/>
            <c:bubble3D val="0"/>
            <c:spPr>
              <a:solidFill>
                <a:schemeClr val="accent1">
                  <a:shade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E359-4E7D-A1E3-8E1662C540CC}"/>
              </c:ext>
            </c:extLst>
          </c:dPt>
          <c:dPt>
            <c:idx val="7"/>
            <c:bubble3D val="0"/>
            <c:spPr>
              <a:solidFill>
                <a:schemeClr val="accent1">
                  <a:tint val="9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E359-4E7D-A1E3-8E1662C540CC}"/>
              </c:ext>
            </c:extLst>
          </c:dPt>
          <c:dPt>
            <c:idx val="8"/>
            <c:bubble3D val="0"/>
            <c:spPr>
              <a:solidFill>
                <a:schemeClr val="accent1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E359-4E7D-A1E3-8E1662C540CC}"/>
              </c:ext>
            </c:extLst>
          </c:dPt>
          <c:dPt>
            <c:idx val="9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E359-4E7D-A1E3-8E1662C540CC}"/>
              </c:ext>
            </c:extLst>
          </c:dPt>
          <c:dPt>
            <c:idx val="10"/>
            <c:bubble3D val="0"/>
            <c:spPr>
              <a:solidFill>
                <a:schemeClr val="accent1">
                  <a:tint val="6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E359-4E7D-A1E3-8E1662C540CC}"/>
              </c:ext>
            </c:extLst>
          </c:dPt>
          <c:dPt>
            <c:idx val="11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E359-4E7D-A1E3-8E1662C540CC}"/>
              </c:ext>
            </c:extLst>
          </c:dPt>
          <c:dPt>
            <c:idx val="12"/>
            <c:bubble3D val="0"/>
            <c:spPr>
              <a:solidFill>
                <a:schemeClr val="accent1">
                  <a:tint val="4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E359-4E7D-A1E3-8E1662C540CC}"/>
              </c:ext>
            </c:extLst>
          </c:dPt>
          <c:dPt>
            <c:idx val="13"/>
            <c:bubble3D val="0"/>
            <c:spPr>
              <a:solidFill>
                <a:schemeClr val="accent1">
                  <a:tint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E359-4E7D-A1E3-8E1662C540CC}"/>
              </c:ext>
            </c:extLst>
          </c:dPt>
          <c:dLbls>
            <c:dLbl>
              <c:idx val="0"/>
              <c:layout>
                <c:manualLayout>
                  <c:x val="7.2783871426095423E-2"/>
                  <c:y val="-6.788424492895860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359-4E7D-A1E3-8E1662C540CC}"/>
                </c:ext>
              </c:extLst>
            </c:dLbl>
            <c:dLbl>
              <c:idx val="1"/>
              <c:layout>
                <c:manualLayout>
                  <c:x val="-2.7607675368518988E-2"/>
                  <c:y val="0.1741378456873285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359-4E7D-A1E3-8E1662C540CC}"/>
                </c:ext>
              </c:extLst>
            </c:dLbl>
            <c:dLbl>
              <c:idx val="2"/>
              <c:layout>
                <c:manualLayout>
                  <c:x val="0.18572436157003683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359-4E7D-A1E3-8E1662C540CC}"/>
                </c:ext>
              </c:extLst>
            </c:dLbl>
            <c:dLbl>
              <c:idx val="3"/>
              <c:layout>
                <c:manualLayout>
                  <c:x val="0.10792091280421041"/>
                  <c:y val="-5.902977819909442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359-4E7D-A1E3-8E1662C540CC}"/>
                </c:ext>
              </c:extLst>
            </c:dLbl>
            <c:dLbl>
              <c:idx val="4"/>
              <c:layout>
                <c:manualLayout>
                  <c:x val="-0.18321457290017149"/>
                  <c:y val="2.951488909954710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359-4E7D-A1E3-8E1662C540CC}"/>
                </c:ext>
              </c:extLst>
            </c:dLbl>
            <c:dLbl>
              <c:idx val="5"/>
              <c:layout>
                <c:manualLayout>
                  <c:x val="-0.18572436157003683"/>
                  <c:y val="-4.427233364932082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359-4E7D-A1E3-8E1662C540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'12'!$C$13:$C$26</c:f>
              <c:numCache>
                <c:formatCode>_-* #,##0.00\ [$zł-415]_-;\-* #,##0.00\ [$zł-415]_-;_-* "-"??\ [$zł-415]_-;_-@_-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359-4E7D-A1E3-8E1662C54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9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CFFB7E-72CF-9596-91B4-1FEE542AA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4E7FF8-D947-5E58-4493-5E3C63930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0693CB-CFBE-3001-F2D6-4A2119F964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7087EF-2847-41F6-BA85-8339D790E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6E9D2B-B133-4A4D-A016-525827BF6E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6010D7-1E4D-490A-915D-C4EB68A894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15A419-A35A-41E7-8882-C457CA223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86FE5C-C033-465F-976E-7975F251F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DACF34-870B-4D06-9C5E-CECBC91AA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81135F-7C57-4001-BA07-41FE6BAC0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924E4A-DF7E-4173-B6B9-2A18E4A7C6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B474516-EF91-44BD-B736-E9DB526E0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5461FC-7507-401B-B778-4691DEB77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374D1EC-80F3-46BC-8CFA-29AD0B7188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146AEA5-A5D9-424B-827A-7E919B296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F64838-208C-47E9-8AAD-1AE8362C0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E6058C8-62AB-4235-B869-8DC9E7831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D0AAF2-5BD2-4A52-B0C4-466A8E37C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65F446-3961-4D3F-827E-3A10954BBC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DF95CC-6154-43A5-A631-A58E0C610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9477D54-0F2F-479F-AF42-8C1F10204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B91433-8976-4860-B3F1-579C28146F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6CBB42-0BBB-4581-BABC-22158B1782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86B580-5AE1-4D8E-9B4E-C0354F9EC1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47CB2B-C1DC-4F38-84AC-B913E98ADE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B72C9E-A10D-4690-BFE9-145DA50E7B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45B475-BDF9-4D59-8E10-0E7E5A641D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FB5F07-DB79-4A60-858E-2D44DA4ABB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A88EE5-4CCF-4013-A4DD-26D628617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4F4A17E-C1DF-413C-9BC4-6FB9FD2A6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51E6D1-A48F-4DFD-8169-381ED61781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ABAC49-E808-40AE-B496-71C5C9E8C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C7D506-1B4E-4756-9750-B05D1AC09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185530</xdr:rowOff>
    </xdr:from>
    <xdr:to>
      <xdr:col>7</xdr:col>
      <xdr:colOff>505239</xdr:colOff>
      <xdr:row>8</xdr:row>
      <xdr:rowOff>8282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2EFCAC-074F-4DDD-A2BA-AD62F2CE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386043</xdr:colOff>
      <xdr:row>27</xdr:row>
      <xdr:rowOff>254653</xdr:rowOff>
    </xdr:from>
    <xdr:to>
      <xdr:col>8</xdr:col>
      <xdr:colOff>1157568</xdr:colOff>
      <xdr:row>44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9D455E-0B67-4054-9DCF-91F032EE8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448234</xdr:colOff>
      <xdr:row>28</xdr:row>
      <xdr:rowOff>26943</xdr:rowOff>
    </xdr:from>
    <xdr:to>
      <xdr:col>3</xdr:col>
      <xdr:colOff>1367117</xdr:colOff>
      <xdr:row>44</xdr:row>
      <xdr:rowOff>89160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80EF4AC-7E71-4C77-BEC1-5E2B9CC6A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B9FDA8-428F-476D-9993-DDB17573CCE8}" name="Income_1" displayName="Income_1" ref="A12:D27" totalsRowCount="1" headerRowDxfId="779" totalsRowDxfId="776" headerRowBorderDxfId="778" tableBorderDxfId="777" totalsRowBorderDxfId="775">
  <autoFilter ref="A12:D26" xr:uid="{93B9FDA8-428F-476D-9993-DDB17573CCE8}"/>
  <tableColumns count="4">
    <tableColumn id="1" xr3:uid="{47963C17-678E-425A-8D4A-D2FE3D6E7226}" name="Source" totalsRowLabel="Total" dataDxfId="774" totalsRowDxfId="773"/>
    <tableColumn id="2" xr3:uid="{3C63B028-A6DC-4F52-8475-8BC80F99EB1C}" name="Planned" totalsRowFunction="custom" dataDxfId="772" totalsRowDxfId="771">
      <totalsRowFormula>SUM(B13:B26)</totalsRowFormula>
    </tableColumn>
    <tableColumn id="3" xr3:uid="{585C65ED-789D-4AA6-84C8-FC72116AAD6D}" name="Actual" totalsRowFunction="custom" dataDxfId="770" totalsRowDxfId="769">
      <totalsRowFormula>SUM(Income_1[Actual])</totalsRowFormula>
    </tableColumn>
    <tableColumn id="4" xr3:uid="{894C6C1B-7E82-4BDA-B915-F19F691706F1}" name="Left" totalsRowFunction="sum" dataDxfId="768" totalsRowDxfId="767"/>
  </tableColumns>
  <tableStyleInfo name="Table Style Min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A8353D-9D5D-42AC-A175-10AA233D4CCC}" name="Expenses_1" displayName="Expenses_1" ref="F12:I27" totalsRowCount="1" headerRowDxfId="766" totalsRowDxfId="763" headerRowBorderDxfId="765" tableBorderDxfId="764" totalsRowBorderDxfId="762">
  <autoFilter ref="F12:I26" xr:uid="{24A8353D-9D5D-42AC-A175-10AA233D4CCC}"/>
  <tableColumns count="4">
    <tableColumn id="1" xr3:uid="{F0018E1B-25DC-44BE-BA1D-A7095A040E13}" name="Category" totalsRowLabel="Total" dataDxfId="761" totalsRowDxfId="760"/>
    <tableColumn id="2" xr3:uid="{3C235523-D986-48AE-9CD3-9E36C86B2839}" name="Planned" totalsRowFunction="custom" dataDxfId="759" totalsRowDxfId="758" dataCellStyle="Currency">
      <totalsRowFormula>SUM(G13:G26)</totalsRowFormula>
    </tableColumn>
    <tableColumn id="3" xr3:uid="{AD2EEE4E-3835-4B34-8A96-E7D2653ADBA2}" name="Actual" totalsRowFunction="custom" dataDxfId="757" totalsRowDxfId="756" dataCellStyle="Currency">
      <totalsRowFormula>SUM(H13:H26)</totalsRowFormula>
    </tableColumn>
    <tableColumn id="4" xr3:uid="{8ABC1D3D-43BA-4F9B-981A-0FA0EE02CE50}" name="Left" totalsRowFunction="sum" dataDxfId="755" totalsRowDxfId="754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5C5F31-13A9-4CEA-9193-37475751E1DB}" name="Bills_1" displayName="Bills_1" ref="K12:N27" totalsRowCount="1" headerRowDxfId="753" totalsRowDxfId="750" headerRowBorderDxfId="752" tableBorderDxfId="751" totalsRowBorderDxfId="749">
  <autoFilter ref="K12:N26" xr:uid="{EB5C5F31-13A9-4CEA-9193-37475751E1DB}"/>
  <tableColumns count="4">
    <tableColumn id="1" xr3:uid="{974AB822-F1D7-4B32-882A-2EFFDCBD2EB4}" name="Bill" totalsRowLabel="Total" dataDxfId="748" totalsRowDxfId="747"/>
    <tableColumn id="2" xr3:uid="{1575EFDB-723D-4B63-81F2-B41C72839C5A}" name="Due" dataDxfId="746" totalsRowDxfId="745"/>
    <tableColumn id="3" xr3:uid="{BC90331A-648F-4944-B224-7A23A04D9C44}" name="Planned" totalsRowFunction="custom" dataDxfId="744" totalsRowDxfId="743" dataCellStyle="Currency">
      <totalsRowFormula>SUM(M13:M26)</totalsRowFormula>
    </tableColumn>
    <tableColumn id="4" xr3:uid="{820C1A9B-D61A-4153-9713-E99DFF4DF0C9}" name="Actual" totalsRowFunction="count" dataDxfId="742" totalsRowDxfId="741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E7F0D9A-AB58-44A4-9409-811D7CF48231}" name="Subscriptions_1" displayName="Subscriptions_1" ref="P12:S27" totalsRowCount="1" headerRowDxfId="740" totalsRowDxfId="737" headerRowBorderDxfId="739" tableBorderDxfId="738" totalsRowBorderDxfId="736">
  <autoFilter ref="P12:S26" xr:uid="{0E7F0D9A-AB58-44A4-9409-811D7CF48231}"/>
  <tableColumns count="4">
    <tableColumn id="1" xr3:uid="{E7C3C493-1D35-494E-8780-064E76CA215A}" name="Service" totalsRowLabel="Total" dataDxfId="735" totalsRowDxfId="734"/>
    <tableColumn id="2" xr3:uid="{B808D1D5-EB2E-4C46-9F05-307A3089A0EB}" name="Due" dataDxfId="733" totalsRowDxfId="732"/>
    <tableColumn id="3" xr3:uid="{970C713E-06E0-47FF-96E6-E3CF2E914BBC}" name="Planned" totalsRowFunction="custom" dataDxfId="731" totalsRowDxfId="730">
      <totalsRowFormula>SUM(R13:R26)</totalsRowFormula>
    </tableColumn>
    <tableColumn id="4" xr3:uid="{F190011F-4908-4132-8EC4-6494253264FA}" name="Actual" totalsRowFunction="count" dataDxfId="729" totalsRowDxfId="7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F81A8-B423-4B5B-B86F-3F525C6B18A9}" name="Savings_1" displayName="Savings_1" ref="U12:X27" totalsRowCount="1" headerRowDxfId="727" totalsRowDxfId="724" headerRowBorderDxfId="726" tableBorderDxfId="725" totalsRowBorderDxfId="723">
  <autoFilter ref="U12:X26" xr:uid="{B4BF81A8-B423-4B5B-B86F-3F525C6B18A9}"/>
  <tableColumns count="4">
    <tableColumn id="1" xr3:uid="{2CF9D6BD-DDC0-49CA-A5EA-61E3721B6E5E}" name="Aim" totalsRowLabel="Total" dataDxfId="722" totalsRowDxfId="721"/>
    <tableColumn id="2" xr3:uid="{D196274E-04BA-4C40-9CB9-845488706B69}" name="Planned" totalsRowFunction="custom" dataDxfId="720" totalsRowDxfId="719">
      <totalsRowFormula>SUM(V13:V26)</totalsRowFormula>
    </tableColumn>
    <tableColumn id="3" xr3:uid="{BCD8925A-A2B2-47A6-A8D8-57B4DBA32F92}" name="Actual" totalsRowFunction="sum" dataDxfId="718" totalsRowDxfId="717"/>
    <tableColumn id="4" xr3:uid="{B2F711D2-4F5D-447B-81E8-1FBAB0FC774A}" name="Left" totalsRowFunction="custom" dataDxfId="716" totalsRowDxfId="715">
      <calculatedColumnFormula>Savings_1[[#This Row],[Planned]]-Savings_1[[#This Row],[Actual]]</calculatedColumnFormula>
      <totalsRowFormula>SUM(Savings_1[Left])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7BA5D750-0475-49B6-B14D-C196D148CEED}" name="Income_2" displayName="Income_2" ref="A12:D27" totalsRowCount="1" headerRowDxfId="714" totalsRowDxfId="713" headerRowBorderDxfId="711" tableBorderDxfId="712" totalsRowBorderDxfId="710">
  <autoFilter ref="A12:D26" xr:uid="{93B9FDA8-428F-476D-9993-DDB17573CCE8}"/>
  <tableColumns count="4">
    <tableColumn id="1" xr3:uid="{ADCF9F9E-52FF-4337-BD19-541852B0C15C}" name="Source" totalsRowLabel="Total" dataDxfId="708" totalsRowDxfId="709"/>
    <tableColumn id="2" xr3:uid="{F4722A6C-AC09-43CD-832C-BEBF0F9C2F66}" name="Planned" totalsRowFunction="custom" dataDxfId="706" totalsRowDxfId="707">
      <totalsRowFormula>SUM(B13:B26)</totalsRowFormula>
    </tableColumn>
    <tableColumn id="3" xr3:uid="{F0892A54-9CB6-4A21-A2A8-46A1CAA784B5}" name="Actual" totalsRowFunction="custom" dataDxfId="704" totalsRowDxfId="705">
      <totalsRowFormula>SUM(Income_2[Actual])</totalsRowFormula>
    </tableColumn>
    <tableColumn id="4" xr3:uid="{B9321644-B3EC-40A0-9A9D-DC193794D7E0}" name="Left" totalsRowFunction="sum" dataDxfId="702" totalsRowDxfId="703"/>
  </tableColumns>
  <tableStyleInfo name="Table Style Min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72756ED-F908-4D0C-94DE-5674866D4DD3}" name="Expenses_2" displayName="Expenses_2" ref="F12:I27" totalsRowCount="1" headerRowDxfId="701" totalsRowDxfId="700" headerRowBorderDxfId="698" tableBorderDxfId="699" totalsRowBorderDxfId="697">
  <autoFilter ref="F12:I26" xr:uid="{24A8353D-9D5D-42AC-A175-10AA233D4CCC}"/>
  <tableColumns count="4">
    <tableColumn id="1" xr3:uid="{087F6255-0FC0-42EE-A2BF-4D744A7299E1}" name="Category" totalsRowLabel="Total" dataDxfId="695" totalsRowDxfId="696"/>
    <tableColumn id="2" xr3:uid="{332B144F-AE4F-440A-8D28-CDB2DFB7D73C}" name="Planned" totalsRowFunction="custom" dataDxfId="693" totalsRowDxfId="694" dataCellStyle="Currency">
      <totalsRowFormula>SUM(G13:G26)</totalsRowFormula>
    </tableColumn>
    <tableColumn id="3" xr3:uid="{6190FE7D-32F0-4BED-B977-86418AF227FC}" name="Actual" totalsRowFunction="custom" dataDxfId="691" totalsRowDxfId="692" dataCellStyle="Currency">
      <totalsRowFormula>SUM(H13:H26)</totalsRowFormula>
    </tableColumn>
    <tableColumn id="4" xr3:uid="{EA4212A0-8EC0-4A3D-B400-79B477F30F6C}" name="Left" totalsRowFunction="sum" dataDxfId="689" totalsRowDxfId="690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91403AC-C836-4D0A-AB00-7C2F12C88CE3}" name="Bills_2" displayName="Bills_2" ref="K12:N27" totalsRowCount="1" headerRowDxfId="688" totalsRowDxfId="687" headerRowBorderDxfId="685" tableBorderDxfId="686" totalsRowBorderDxfId="684">
  <autoFilter ref="K12:N26" xr:uid="{EB5C5F31-13A9-4CEA-9193-37475751E1DB}"/>
  <tableColumns count="4">
    <tableColumn id="1" xr3:uid="{EBEF6FC3-2496-461A-A5A8-2BBDC2230CA2}" name="Bill" totalsRowLabel="Total" dataDxfId="682" totalsRowDxfId="683"/>
    <tableColumn id="2" xr3:uid="{6FAA937A-EA65-409B-850F-F3F783508CAE}" name="Due" dataDxfId="680" totalsRowDxfId="681"/>
    <tableColumn id="3" xr3:uid="{A54A2D89-C81A-4F3F-8096-28E1B15A136B}" name="Planned" totalsRowFunction="custom" dataDxfId="678" totalsRowDxfId="679" dataCellStyle="Currency">
      <totalsRowFormula>SUM(M13:M26)</totalsRowFormula>
    </tableColumn>
    <tableColumn id="4" xr3:uid="{177BFE2A-EB53-492C-AF5E-27C24FD031C0}" name="Actual" totalsRowFunction="count" dataDxfId="676" totalsRowDxfId="677" dataCellStyle="Currenc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73D7071D-5C8C-45AF-B08F-5F7E12648D6D}" name="Subscriptions_2" displayName="Subscriptions_2" ref="P12:S27" totalsRowCount="1" headerRowDxfId="675" totalsRowDxfId="674" headerRowBorderDxfId="672" tableBorderDxfId="673" totalsRowBorderDxfId="671">
  <autoFilter ref="P12:S26" xr:uid="{0E7F0D9A-AB58-44A4-9409-811D7CF48231}"/>
  <tableColumns count="4">
    <tableColumn id="1" xr3:uid="{B16FFE60-070F-4612-8CC9-173E4AACFC6F}" name="Service" totalsRowLabel="Total" dataDxfId="669" totalsRowDxfId="670"/>
    <tableColumn id="2" xr3:uid="{72819715-A292-49ED-97F5-1152D6E98A2C}" name="Due" dataDxfId="667" totalsRowDxfId="668"/>
    <tableColumn id="3" xr3:uid="{3C5187B1-50C0-4E6D-B389-C5339EF8132E}" name="Planned" totalsRowFunction="custom" dataDxfId="665" totalsRowDxfId="666">
      <totalsRowFormula>SUM(R13:R26)</totalsRowFormula>
    </tableColumn>
    <tableColumn id="4" xr3:uid="{7D08B088-59CF-48AA-95A2-16D6C9406150}" name="Actual" totalsRowFunction="count" dataDxfId="663" totalsRowDxfId="66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46BEF1A-686F-47BD-A292-DAD52AC65E48}" name="Savings_2" displayName="Savings_2" ref="U12:X27" totalsRowCount="1" headerRowDxfId="662" totalsRowDxfId="661" headerRowBorderDxfId="659" tableBorderDxfId="660" totalsRowBorderDxfId="658">
  <autoFilter ref="U12:X26" xr:uid="{B4BF81A8-B423-4B5B-B86F-3F525C6B18A9}"/>
  <tableColumns count="4">
    <tableColumn id="1" xr3:uid="{80B38D67-87A7-4F0B-A755-2E5B2EDD376F}" name="Aim" totalsRowLabel="Total" dataDxfId="656" totalsRowDxfId="657"/>
    <tableColumn id="2" xr3:uid="{23523CD9-1559-402F-98E9-299923C7E4F0}" name="Planned" totalsRowFunction="custom" dataDxfId="654" totalsRowDxfId="655">
      <totalsRowFormula>SUM(V13:V26)</totalsRowFormula>
    </tableColumn>
    <tableColumn id="3" xr3:uid="{52D99688-54B0-4FD8-97E0-10BE82E5E8C6}" name="Actual" totalsRowFunction="sum" dataDxfId="652" totalsRowDxfId="653"/>
    <tableColumn id="4" xr3:uid="{688B8573-2D40-4531-BCE2-B57931680B72}" name="Left" totalsRowFunction="custom" dataDxfId="650" totalsRowDxfId="651">
      <calculatedColumnFormula>Savings_2[[#This Row],[Planned]]-Savings_2[[#This Row],[Actual]]</calculatedColumnFormula>
      <totalsRowFormula>SUM(Savings_2[Left])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C72D8D9-2ABA-494A-B253-B0612E1E0E9D}" name="Income_3" displayName="Income_3" ref="A12:D27" totalsRowCount="1" headerRowDxfId="649" totalsRowDxfId="648" headerRowBorderDxfId="646" tableBorderDxfId="647" totalsRowBorderDxfId="645">
  <autoFilter ref="A12:D26" xr:uid="{93B9FDA8-428F-476D-9993-DDB17573CCE8}"/>
  <tableColumns count="4">
    <tableColumn id="1" xr3:uid="{B60C7F77-332D-4590-8D23-6E754433EBA4}" name="Source" totalsRowLabel="Total" dataDxfId="643" totalsRowDxfId="644"/>
    <tableColumn id="2" xr3:uid="{3AF9CCDB-8E12-4F38-BFAD-112F98C30405}" name="Planned" totalsRowFunction="custom" dataDxfId="641" totalsRowDxfId="642">
      <totalsRowFormula>SUM(B13:B26)</totalsRowFormula>
    </tableColumn>
    <tableColumn id="3" xr3:uid="{94F8EE43-7232-4FD3-8747-23D5AC9C02AC}" name="Actual" totalsRowFunction="custom" dataDxfId="639" totalsRowDxfId="640">
      <totalsRowFormula>SUM(Income_3[Actual])</totalsRowFormula>
    </tableColumn>
    <tableColumn id="4" xr3:uid="{E2BEF004-F718-4804-857A-9FD21BF0CB6C}" name="Left" totalsRowFunction="sum" dataDxfId="637" totalsRowDxfId="638"/>
  </tableColumns>
  <tableStyleInfo name="Table Style Min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4C71038-CB36-4E32-B666-1AC4C4878825}" name="Expenses_3" displayName="Expenses_3" ref="F12:I27" totalsRowCount="1" headerRowDxfId="636" totalsRowDxfId="635" headerRowBorderDxfId="633" tableBorderDxfId="634" totalsRowBorderDxfId="632">
  <autoFilter ref="F12:I26" xr:uid="{24A8353D-9D5D-42AC-A175-10AA233D4CCC}"/>
  <tableColumns count="4">
    <tableColumn id="1" xr3:uid="{4977A011-8982-428B-96F5-4AD42DB5E89C}" name="Category" totalsRowLabel="Total" dataDxfId="630" totalsRowDxfId="631"/>
    <tableColumn id="2" xr3:uid="{1BE6FBCD-BB2E-4AD0-AD56-0546CD3A9D9D}" name="Planned" totalsRowFunction="custom" dataDxfId="628" totalsRowDxfId="629" dataCellStyle="Currency">
      <totalsRowFormula>SUM(G13:G26)</totalsRowFormula>
    </tableColumn>
    <tableColumn id="3" xr3:uid="{19D34574-4417-449D-8F4A-E99CCBB89774}" name="Actual" totalsRowFunction="custom" dataDxfId="626" totalsRowDxfId="627" dataCellStyle="Currency">
      <totalsRowFormula>SUM(H13:H26)</totalsRowFormula>
    </tableColumn>
    <tableColumn id="4" xr3:uid="{8F0CF2BE-DAAB-4EF3-9A39-082F8799898A}" name="Left" totalsRowFunction="sum" dataDxfId="624" totalsRowDxfId="625" dataCellStyle="Currenc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6F371AEA-2ED5-4918-950F-BA4E097BC6C7}" name="Bills_3" displayName="Bills_3" ref="K12:N27" totalsRowCount="1" headerRowDxfId="623" totalsRowDxfId="622" headerRowBorderDxfId="620" tableBorderDxfId="621" totalsRowBorderDxfId="619">
  <autoFilter ref="K12:N26" xr:uid="{EB5C5F31-13A9-4CEA-9193-37475751E1DB}"/>
  <tableColumns count="4">
    <tableColumn id="1" xr3:uid="{196F6A57-CB26-4866-94FF-9262EF15C729}" name="Bill" totalsRowLabel="Total" dataDxfId="617" totalsRowDxfId="618"/>
    <tableColumn id="2" xr3:uid="{46A7AA49-E6D7-41FB-AF84-98FB207EEE29}" name="Due" dataDxfId="615" totalsRowDxfId="616"/>
    <tableColumn id="3" xr3:uid="{FF0A39EA-A1D6-4C40-A654-5FFD0E7370B7}" name="Planned" totalsRowFunction="custom" dataDxfId="613" totalsRowDxfId="614" dataCellStyle="Currency">
      <totalsRowFormula>SUM(M13:M26)</totalsRowFormula>
    </tableColumn>
    <tableColumn id="4" xr3:uid="{1449329F-EAB5-44DF-907E-23614506BA61}" name="Actual" totalsRowFunction="count" dataDxfId="611" totalsRowDxfId="612" dataCellStyle="Currenc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AB44C1B6-4AB1-4C60-A90A-812FBF70D52A}" name="Subscriptions_3" displayName="Subscriptions_3" ref="P12:S27" totalsRowCount="1" headerRowDxfId="610" totalsRowDxfId="609" headerRowBorderDxfId="607" tableBorderDxfId="608" totalsRowBorderDxfId="606">
  <autoFilter ref="P12:S26" xr:uid="{0E7F0D9A-AB58-44A4-9409-811D7CF48231}"/>
  <tableColumns count="4">
    <tableColumn id="1" xr3:uid="{AB8D4620-55F4-45F9-AB23-6F0794A5D147}" name="Service" totalsRowLabel="Total" dataDxfId="604" totalsRowDxfId="605"/>
    <tableColumn id="2" xr3:uid="{9A73E954-F585-4003-99BF-AA07BBD83AD0}" name="Due" dataDxfId="602" totalsRowDxfId="603"/>
    <tableColumn id="3" xr3:uid="{2B5D332F-506A-4848-9F70-16FF5D56B955}" name="Planned" totalsRowFunction="custom" dataDxfId="600" totalsRowDxfId="601">
      <totalsRowFormula>SUM(R13:R26)</totalsRowFormula>
    </tableColumn>
    <tableColumn id="4" xr3:uid="{7BFB2415-CD64-4CE8-AA27-97AD33B21912}" name="Actual" totalsRowFunction="count" dataDxfId="598" totalsRowDxfId="5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80E1AC23-E491-448D-90F3-98A23390CB17}" name="Savings_3" displayName="Savings_3" ref="U12:X27" totalsRowCount="1" headerRowDxfId="597" totalsRowDxfId="596" headerRowBorderDxfId="594" tableBorderDxfId="595" totalsRowBorderDxfId="593">
  <autoFilter ref="U12:X26" xr:uid="{B4BF81A8-B423-4B5B-B86F-3F525C6B18A9}"/>
  <tableColumns count="4">
    <tableColumn id="1" xr3:uid="{DA1F715E-9107-4963-A0E6-0744409254B6}" name="Aim" totalsRowLabel="Total" dataDxfId="591" totalsRowDxfId="592"/>
    <tableColumn id="2" xr3:uid="{00B60B23-7054-4654-AE94-D5756302E58F}" name="Planned" totalsRowFunction="custom" dataDxfId="589" totalsRowDxfId="590">
      <totalsRowFormula>SUM(V13:V26)</totalsRowFormula>
    </tableColumn>
    <tableColumn id="3" xr3:uid="{EC44FD49-88A3-4FBD-8CF4-92E2FEDD6B2D}" name="Actual" totalsRowFunction="sum" dataDxfId="587" totalsRowDxfId="588"/>
    <tableColumn id="4" xr3:uid="{598954B0-0C46-4FFC-B7EC-E63D7B827B34}" name="Left" totalsRowFunction="custom" dataDxfId="585" totalsRowDxfId="586">
      <calculatedColumnFormula>Savings_3[[#This Row],[Planned]]-Savings_3[[#This Row],[Actual]]</calculatedColumnFormula>
      <totalsRowFormula>SUM(Savings_3[Left])</totalsRow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BE147221-31B6-44FB-8A0B-C9CF296BB356}" name="Income_4" displayName="Income_4" ref="A12:D27" totalsRowCount="1" headerRowDxfId="584" totalsRowDxfId="583" headerRowBorderDxfId="581" tableBorderDxfId="582" totalsRowBorderDxfId="580">
  <autoFilter ref="A12:D26" xr:uid="{93B9FDA8-428F-476D-9993-DDB17573CCE8}"/>
  <tableColumns count="4">
    <tableColumn id="1" xr3:uid="{C896918E-B1CA-40F8-97A8-88275516D4F1}" name="Source" totalsRowLabel="Total" dataDxfId="578" totalsRowDxfId="579"/>
    <tableColumn id="2" xr3:uid="{F0203C5C-A78F-4B91-9328-503E62880955}" name="Planned" totalsRowFunction="custom" dataDxfId="576" totalsRowDxfId="577">
      <totalsRowFormula>SUM(B13:B26)</totalsRowFormula>
    </tableColumn>
    <tableColumn id="3" xr3:uid="{332E4F91-9BF1-4A38-9340-7929808DF4E8}" name="Actual" totalsRowFunction="custom" dataDxfId="574" totalsRowDxfId="575">
      <totalsRowFormula>SUM(Income_4[Actual])</totalsRowFormula>
    </tableColumn>
    <tableColumn id="4" xr3:uid="{1EC19251-5589-4AA8-B488-E9A9F4F53788}" name="Left" totalsRowFunction="sum" dataDxfId="572" totalsRowDxfId="573"/>
  </tableColumns>
  <tableStyleInfo name="Table Style Min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8ECA88C3-EDE7-46F6-BD4D-117CB66E709C}" name="Expenses_4" displayName="Expenses_4" ref="F12:I27" totalsRowCount="1" headerRowDxfId="571" totalsRowDxfId="570" headerRowBorderDxfId="568" tableBorderDxfId="569" totalsRowBorderDxfId="567">
  <autoFilter ref="F12:I26" xr:uid="{24A8353D-9D5D-42AC-A175-10AA233D4CCC}"/>
  <tableColumns count="4">
    <tableColumn id="1" xr3:uid="{3F4F4DC4-D27E-4D10-AF45-6C46B02E842B}" name="Category" totalsRowLabel="Total" dataDxfId="565" totalsRowDxfId="566"/>
    <tableColumn id="2" xr3:uid="{66B01638-6BDB-4611-B4F9-F52C8B14D7C3}" name="Planned" totalsRowFunction="custom" dataDxfId="563" totalsRowDxfId="564" dataCellStyle="Currency">
      <totalsRowFormula>SUM(G13:G26)</totalsRowFormula>
    </tableColumn>
    <tableColumn id="3" xr3:uid="{3ACCC4C2-54F4-4209-8F52-5A8BEA3295CC}" name="Actual" totalsRowFunction="custom" dataDxfId="561" totalsRowDxfId="562" dataCellStyle="Currency">
      <totalsRowFormula>SUM(H13:H26)</totalsRowFormula>
    </tableColumn>
    <tableColumn id="4" xr3:uid="{5093F6C3-77CB-4704-AAC0-C8783DF23A96}" name="Left" totalsRowFunction="sum" dataDxfId="559" totalsRowDxfId="560" dataCellStyle="Currency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CD4917DD-36EF-47CD-BFCE-7A82C9F6D45B}" name="Bills_4" displayName="Bills_4" ref="K12:N27" totalsRowCount="1" headerRowDxfId="558" totalsRowDxfId="557" headerRowBorderDxfId="555" tableBorderDxfId="556" totalsRowBorderDxfId="554">
  <autoFilter ref="K12:N26" xr:uid="{EB5C5F31-13A9-4CEA-9193-37475751E1DB}"/>
  <tableColumns count="4">
    <tableColumn id="1" xr3:uid="{CF0220D3-BD41-4E50-9FF2-24A67281A13B}" name="Bill" totalsRowLabel="Total" dataDxfId="552" totalsRowDxfId="553"/>
    <tableColumn id="2" xr3:uid="{36BD77DB-94F8-4453-ACC9-E3B03B276844}" name="Due" dataDxfId="550" totalsRowDxfId="551"/>
    <tableColumn id="3" xr3:uid="{04AA6AED-E7EE-48BE-9D4B-A798361F3571}" name="Planned" totalsRowFunction="custom" dataDxfId="548" totalsRowDxfId="549" dataCellStyle="Currency">
      <totalsRowFormula>SUM(M13:M26)</totalsRowFormula>
    </tableColumn>
    <tableColumn id="4" xr3:uid="{E677FAE3-F2DF-41EE-B8C4-E57C7BCD207F}" name="Actual" totalsRowFunction="count" dataDxfId="546" totalsRowDxfId="547" dataCellStyle="Currency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BC93E31-1425-4785-8884-3C39364C5086}" name="Subscriptions_4" displayName="Subscriptions_4" ref="P12:S27" totalsRowCount="1" headerRowDxfId="545" totalsRowDxfId="544" headerRowBorderDxfId="542" tableBorderDxfId="543" totalsRowBorderDxfId="541">
  <autoFilter ref="P12:S26" xr:uid="{0E7F0D9A-AB58-44A4-9409-811D7CF48231}"/>
  <tableColumns count="4">
    <tableColumn id="1" xr3:uid="{308C3F77-E87A-49F9-8C69-5D05FE8C5A12}" name="Service" totalsRowLabel="Total" dataDxfId="539" totalsRowDxfId="540"/>
    <tableColumn id="2" xr3:uid="{591CC328-C396-48F5-BE2F-1E305E4607E6}" name="Due" dataDxfId="537" totalsRowDxfId="538"/>
    <tableColumn id="3" xr3:uid="{94D68F84-BACD-4416-9A30-1559D398B0DB}" name="Planned" totalsRowFunction="custom" dataDxfId="535" totalsRowDxfId="536">
      <totalsRowFormula>SUM(R13:R26)</totalsRowFormula>
    </tableColumn>
    <tableColumn id="4" xr3:uid="{4599ECDD-36C6-4C4E-9CCC-ECBBB720A464}" name="Actual" totalsRowFunction="count" dataDxfId="533" totalsRowDxfId="5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DCEB3F9D-27E3-49BB-9942-4E8DB150CC67}" name="Savings_4" displayName="Savings_4" ref="U12:X27" totalsRowCount="1" headerRowDxfId="532" totalsRowDxfId="531" headerRowBorderDxfId="529" tableBorderDxfId="530" totalsRowBorderDxfId="528">
  <autoFilter ref="U12:X26" xr:uid="{B4BF81A8-B423-4B5B-B86F-3F525C6B18A9}"/>
  <tableColumns count="4">
    <tableColumn id="1" xr3:uid="{1B96926B-AEEA-4B6A-AF24-A945D08A8E3F}" name="Aim" totalsRowLabel="Total" dataDxfId="526" totalsRowDxfId="527"/>
    <tableColumn id="2" xr3:uid="{8052646B-866A-4F3C-9116-86F870A9428F}" name="Planned" totalsRowFunction="custom" dataDxfId="524" totalsRowDxfId="525">
      <totalsRowFormula>SUM(V13:V26)</totalsRowFormula>
    </tableColumn>
    <tableColumn id="3" xr3:uid="{FDD53B45-4223-4215-978A-BB9FB0398878}" name="Actual" totalsRowFunction="sum" dataDxfId="522" totalsRowDxfId="523"/>
    <tableColumn id="4" xr3:uid="{36329C78-7D38-45D1-86AE-3F9FF3459E87}" name="Left" totalsRowFunction="custom" dataDxfId="520" totalsRowDxfId="521">
      <calculatedColumnFormula>Savings_4[[#This Row],[Planned]]-Savings_4[[#This Row],[Actual]]</calculatedColumnFormula>
      <totalsRowFormula>SUM(Savings_4[Left])</totalsRow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BB48762-2772-4FE6-BFF8-C4C92F3B61D1}" name="Income_5" displayName="Income_5" ref="A12:D27" totalsRowCount="1" headerRowDxfId="519" totalsRowDxfId="518" headerRowBorderDxfId="516" tableBorderDxfId="517" totalsRowBorderDxfId="515">
  <autoFilter ref="A12:D26" xr:uid="{93B9FDA8-428F-476D-9993-DDB17573CCE8}"/>
  <tableColumns count="4">
    <tableColumn id="1" xr3:uid="{58548DCC-3588-47CC-94E8-5D7CEE42F5F7}" name="Source" totalsRowLabel="Total" dataDxfId="513" totalsRowDxfId="514"/>
    <tableColumn id="2" xr3:uid="{DAC8969F-49F9-499C-AEDC-12DB54D03911}" name="Planned" totalsRowFunction="custom" dataDxfId="511" totalsRowDxfId="512">
      <totalsRowFormula>SUM(B13:B26)</totalsRowFormula>
    </tableColumn>
    <tableColumn id="3" xr3:uid="{0D79F6BA-5261-4B0F-920A-1101F85B7B84}" name="Actual" totalsRowFunction="custom" dataDxfId="509" totalsRowDxfId="510">
      <totalsRowFormula>SUM(Income_5[Actual])</totalsRowFormula>
    </tableColumn>
    <tableColumn id="4" xr3:uid="{0068BC1B-21C7-46DD-B5A1-0DD79714167D}" name="Left" totalsRowFunction="sum" dataDxfId="507" totalsRowDxfId="508"/>
  </tableColumns>
  <tableStyleInfo name="Table Style Min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03CE749-2CE3-4EF9-92F6-B9BDEBE564B3}" name="Expenses_5" displayName="Expenses_5" ref="F12:I27" totalsRowCount="1" headerRowDxfId="506" totalsRowDxfId="505" headerRowBorderDxfId="503" tableBorderDxfId="504" totalsRowBorderDxfId="502">
  <autoFilter ref="F12:I26" xr:uid="{24A8353D-9D5D-42AC-A175-10AA233D4CCC}"/>
  <tableColumns count="4">
    <tableColumn id="1" xr3:uid="{C49E59B0-0109-4774-B3C6-62CFEA98CB57}" name="Category" totalsRowLabel="Total" dataDxfId="500" totalsRowDxfId="501"/>
    <tableColumn id="2" xr3:uid="{87B5173B-A161-4695-9F5D-E69E10F94151}" name="Planned" totalsRowFunction="custom" dataDxfId="498" totalsRowDxfId="499" dataCellStyle="Currency">
      <totalsRowFormula>SUM(G13:G26)</totalsRowFormula>
    </tableColumn>
    <tableColumn id="3" xr3:uid="{05E63E89-F49A-4221-BFB6-0BFADD60A9E5}" name="Actual" totalsRowFunction="custom" dataDxfId="496" totalsRowDxfId="497" dataCellStyle="Currency">
      <totalsRowFormula>SUM(H13:H26)</totalsRowFormula>
    </tableColumn>
    <tableColumn id="4" xr3:uid="{308D27CB-F52A-48CA-A3F5-2823FD50665D}" name="Left" totalsRowFunction="sum" dataDxfId="494" totalsRowDxfId="495" dataCellStyle="Currency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4BB95E91-313F-46BE-AE64-C2EB3E83181F}" name="Bills_5" displayName="Bills_5" ref="K12:N27" totalsRowCount="1" headerRowDxfId="493" totalsRowDxfId="492" headerRowBorderDxfId="490" tableBorderDxfId="491" totalsRowBorderDxfId="489">
  <autoFilter ref="K12:N26" xr:uid="{EB5C5F31-13A9-4CEA-9193-37475751E1DB}"/>
  <tableColumns count="4">
    <tableColumn id="1" xr3:uid="{3A4DDC33-9954-41D8-9CEF-705F67D148EE}" name="Bill" totalsRowLabel="Total" dataDxfId="487" totalsRowDxfId="488"/>
    <tableColumn id="2" xr3:uid="{069BF6D9-7EDE-4B9D-9FA3-C85CC198A006}" name="Due" dataDxfId="485" totalsRowDxfId="486"/>
    <tableColumn id="3" xr3:uid="{160BC0FE-32CD-4C4A-A250-273266C696A0}" name="Planned" totalsRowFunction="custom" dataDxfId="483" totalsRowDxfId="484" dataCellStyle="Currency">
      <totalsRowFormula>SUM(M13:M26)</totalsRowFormula>
    </tableColumn>
    <tableColumn id="4" xr3:uid="{29B50DD4-97EF-4B0B-B112-F8324DBF8235}" name="Actual" totalsRowFunction="count" dataDxfId="481" totalsRowDxfId="482" dataCellStyle="Currency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E5AF7301-547E-48B4-8784-1ADC9E188EC6}" name="Subscriptions_5" displayName="Subscriptions_5" ref="P12:S27" totalsRowCount="1" headerRowDxfId="480" totalsRowDxfId="479" headerRowBorderDxfId="477" tableBorderDxfId="478" totalsRowBorderDxfId="476">
  <autoFilter ref="P12:S26" xr:uid="{0E7F0D9A-AB58-44A4-9409-811D7CF48231}"/>
  <tableColumns count="4">
    <tableColumn id="1" xr3:uid="{1F1A177E-E137-4E62-8647-441E3C4063B7}" name="Service" totalsRowLabel="Total" dataDxfId="474" totalsRowDxfId="475"/>
    <tableColumn id="2" xr3:uid="{235F8F69-0A9F-48C8-8A15-B3B933D26382}" name="Due" dataDxfId="472" totalsRowDxfId="473"/>
    <tableColumn id="3" xr3:uid="{FFDBFC94-6418-4C69-8AE1-2B90BD4A8F2A}" name="Planned" totalsRowFunction="custom" dataDxfId="470" totalsRowDxfId="471">
      <totalsRowFormula>SUM(R13:R26)</totalsRowFormula>
    </tableColumn>
    <tableColumn id="4" xr3:uid="{1DFB49E6-B049-4C29-846B-62D532C27378}" name="Actual" totalsRowFunction="count" dataDxfId="468" totalsRowDxfId="46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BE504470-17AF-4E8D-9D08-6D515F6A1C5E}" name="Savings_5" displayName="Savings_5" ref="U12:X27" totalsRowCount="1" headerRowDxfId="467" totalsRowDxfId="466" headerRowBorderDxfId="464" tableBorderDxfId="465" totalsRowBorderDxfId="463">
  <autoFilter ref="U12:X26" xr:uid="{B4BF81A8-B423-4B5B-B86F-3F525C6B18A9}"/>
  <tableColumns count="4">
    <tableColumn id="1" xr3:uid="{1DB8C5A3-074E-4B19-BCAA-5DB39E6BEAF5}" name="Aim" totalsRowLabel="Total" dataDxfId="461" totalsRowDxfId="462"/>
    <tableColumn id="2" xr3:uid="{BD91A440-C0D1-4FAD-BDAF-D73D7F4D1F97}" name="Planned" totalsRowFunction="custom" dataDxfId="459" totalsRowDxfId="460">
      <totalsRowFormula>SUM(V13:V26)</totalsRowFormula>
    </tableColumn>
    <tableColumn id="3" xr3:uid="{7563519F-25DA-45D3-B988-621C3E07E26B}" name="Actual" totalsRowFunction="sum" dataDxfId="457" totalsRowDxfId="458"/>
    <tableColumn id="4" xr3:uid="{F9ABD50F-F6CA-4FC9-ADCB-30E85AE900FC}" name="Left" totalsRowFunction="custom" dataDxfId="455" totalsRowDxfId="456">
      <calculatedColumnFormula>Savings_5[[#This Row],[Planned]]-Savings_5[[#This Row],[Actual]]</calculatedColumnFormula>
      <totalsRowFormula>SUM(Savings_5[Left])</totalsRow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41B6E51-C461-4AB7-8163-A23C5A047F91}" name="Income_6" displayName="Income_6" ref="A12:D27" totalsRowCount="1" headerRowDxfId="454" totalsRowDxfId="453" headerRowBorderDxfId="451" tableBorderDxfId="452" totalsRowBorderDxfId="450">
  <autoFilter ref="A12:D26" xr:uid="{93B9FDA8-428F-476D-9993-DDB17573CCE8}"/>
  <tableColumns count="4">
    <tableColumn id="1" xr3:uid="{7FA2467B-A56E-44B6-A10D-813F026B82D7}" name="Source" totalsRowLabel="Total" dataDxfId="448" totalsRowDxfId="449"/>
    <tableColumn id="2" xr3:uid="{A63BED77-83ED-457C-9CDD-9CD03A8A6FAC}" name="Planned" totalsRowFunction="custom" dataDxfId="446" totalsRowDxfId="447">
      <totalsRowFormula>SUM(B13:B26)</totalsRowFormula>
    </tableColumn>
    <tableColumn id="3" xr3:uid="{4FC81AB5-5FC5-490C-916C-B5A92EB50565}" name="Actual" totalsRowFunction="custom" dataDxfId="444" totalsRowDxfId="445">
      <totalsRowFormula>SUM(Income_6[Actual])</totalsRowFormula>
    </tableColumn>
    <tableColumn id="4" xr3:uid="{4F32E15B-C9DA-4341-8735-9D1E8F878F2D}" name="Left" totalsRowFunction="sum" dataDxfId="442" totalsRowDxfId="443"/>
  </tableColumns>
  <tableStyleInfo name="Table Style Mine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CD69B383-206F-4613-BD0B-29B253C650FF}" name="Expenses_6" displayName="Expenses_6" ref="F12:I27" totalsRowCount="1" headerRowDxfId="441" totalsRowDxfId="440" headerRowBorderDxfId="438" tableBorderDxfId="439" totalsRowBorderDxfId="437">
  <autoFilter ref="F12:I26" xr:uid="{24A8353D-9D5D-42AC-A175-10AA233D4CCC}"/>
  <tableColumns count="4">
    <tableColumn id="1" xr3:uid="{08933C05-891E-4DBE-A029-6D46DB88DE48}" name="Category" totalsRowLabel="Total" dataDxfId="435" totalsRowDxfId="436"/>
    <tableColumn id="2" xr3:uid="{644AC077-D570-4D2A-B88A-485268FD1EDB}" name="Planned" totalsRowFunction="custom" dataDxfId="433" totalsRowDxfId="434" dataCellStyle="Currency">
      <totalsRowFormula>SUM(G13:G26)</totalsRowFormula>
    </tableColumn>
    <tableColumn id="3" xr3:uid="{1D344EEB-34BA-4F90-940C-EE1A1DF75B86}" name="Actual" totalsRowFunction="custom" dataDxfId="431" totalsRowDxfId="432" dataCellStyle="Currency">
      <totalsRowFormula>SUM(H13:H26)</totalsRowFormula>
    </tableColumn>
    <tableColumn id="4" xr3:uid="{9203D04F-0F31-4D13-BAD4-5658A8E438D6}" name="Left" totalsRowFunction="sum" dataDxfId="429" totalsRowDxfId="430" dataCellStyle="Currency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ECB21980-E372-428E-8B15-148F708BCC42}" name="Bills_6" displayName="Bills_6" ref="K12:N27" totalsRowCount="1" headerRowDxfId="428" totalsRowDxfId="427" headerRowBorderDxfId="425" tableBorderDxfId="426" totalsRowBorderDxfId="424">
  <autoFilter ref="K12:N26" xr:uid="{EB5C5F31-13A9-4CEA-9193-37475751E1DB}"/>
  <tableColumns count="4">
    <tableColumn id="1" xr3:uid="{E355E78B-4D2A-439F-A3E5-6B69E1E2AE7D}" name="Bill" totalsRowLabel="Total" dataDxfId="422" totalsRowDxfId="423"/>
    <tableColumn id="2" xr3:uid="{27A3BA43-48C7-472A-B3AD-99647DCC5CC7}" name="Due" dataDxfId="420" totalsRowDxfId="421"/>
    <tableColumn id="3" xr3:uid="{7D6DF639-25DE-4070-B83D-7199AF71BBCC}" name="Planned" totalsRowFunction="custom" dataDxfId="418" totalsRowDxfId="419" dataCellStyle="Currency">
      <totalsRowFormula>SUM(M13:M26)</totalsRowFormula>
    </tableColumn>
    <tableColumn id="4" xr3:uid="{E039E3A5-BEBD-42A8-88AA-ECA7B923919B}" name="Actual" totalsRowFunction="count" dataDxfId="416" totalsRowDxfId="417" dataCellStyle="Currency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631D42B5-A6B1-4863-BAA3-D58F9823D6D1}" name="Subscriptions_6" displayName="Subscriptions_6" ref="P12:S27" totalsRowCount="1" headerRowDxfId="415" totalsRowDxfId="414" headerRowBorderDxfId="412" tableBorderDxfId="413" totalsRowBorderDxfId="411">
  <autoFilter ref="P12:S26" xr:uid="{0E7F0D9A-AB58-44A4-9409-811D7CF48231}"/>
  <tableColumns count="4">
    <tableColumn id="1" xr3:uid="{88DF46C7-D4C6-4B84-8286-ECB10042DD6E}" name="Service" totalsRowLabel="Total" dataDxfId="409" totalsRowDxfId="410"/>
    <tableColumn id="2" xr3:uid="{E87E9F19-2826-40C6-9BC6-F24EBFD3C9CD}" name="Due" dataDxfId="407" totalsRowDxfId="408"/>
    <tableColumn id="3" xr3:uid="{E83F1942-4B1A-4F3B-AB8E-223DF9C8031C}" name="Planned" totalsRowFunction="custom" dataDxfId="405" totalsRowDxfId="406">
      <totalsRowFormula>SUM(R13:R26)</totalsRowFormula>
    </tableColumn>
    <tableColumn id="4" xr3:uid="{0C8EDD50-E167-4783-B0D2-7511EB5A2CED}" name="Actual" totalsRowFunction="count" dataDxfId="403" totalsRowDxfId="40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BCA8D382-371D-4231-9B2B-63568B28FB2D}" name="Savings_6" displayName="Savings_6" ref="U12:X27" totalsRowCount="1" headerRowDxfId="402" totalsRowDxfId="401" headerRowBorderDxfId="399" tableBorderDxfId="400" totalsRowBorderDxfId="398">
  <autoFilter ref="U12:X26" xr:uid="{B4BF81A8-B423-4B5B-B86F-3F525C6B18A9}"/>
  <tableColumns count="4">
    <tableColumn id="1" xr3:uid="{52EFE1EC-0D72-41C1-83C9-7B9A940AEBA5}" name="Aim" totalsRowLabel="Total" dataDxfId="396" totalsRowDxfId="397"/>
    <tableColumn id="2" xr3:uid="{4BD28E66-EAA3-4870-8A38-59FADCFA8759}" name="Planned" totalsRowFunction="custom" dataDxfId="394" totalsRowDxfId="395">
      <totalsRowFormula>SUM(V13:V26)</totalsRowFormula>
    </tableColumn>
    <tableColumn id="3" xr3:uid="{60B4D518-8F26-4D94-BDA3-8D49C6892CCE}" name="Actual" totalsRowFunction="sum" dataDxfId="392" totalsRowDxfId="393"/>
    <tableColumn id="4" xr3:uid="{159D8466-7755-411F-9CD6-00C183005C6C}" name="Left" totalsRowFunction="custom" dataDxfId="390" totalsRowDxfId="391">
      <calculatedColumnFormula>Savings_6[[#This Row],[Planned]]-Savings_6[[#This Row],[Actual]]</calculatedColumnFormula>
      <totalsRowFormula>SUM(Savings_6[Left])</totalsRow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5C972A68-0AFE-4135-8C8B-63195861BFFE}" name="Income_7" displayName="Income_7" ref="A12:D27" totalsRowCount="1" headerRowDxfId="389" totalsRowDxfId="388" headerRowBorderDxfId="386" tableBorderDxfId="387" totalsRowBorderDxfId="385">
  <autoFilter ref="A12:D26" xr:uid="{93B9FDA8-428F-476D-9993-DDB17573CCE8}"/>
  <tableColumns count="4">
    <tableColumn id="1" xr3:uid="{DA42191F-B506-4214-AFF0-2E3FD4FCE1C2}" name="Source" totalsRowLabel="Total" dataDxfId="383" totalsRowDxfId="384"/>
    <tableColumn id="2" xr3:uid="{E038E9EC-7D2F-4CB1-A353-D9323BE39FCE}" name="Planned" totalsRowFunction="custom" dataDxfId="381" totalsRowDxfId="382">
      <totalsRowFormula>SUM(B13:B26)</totalsRowFormula>
    </tableColumn>
    <tableColumn id="3" xr3:uid="{FA9786C1-B93D-4893-880D-661D3E14B8F2}" name="Actual" totalsRowFunction="custom" dataDxfId="379" totalsRowDxfId="380">
      <totalsRowFormula>SUM(Income_7[Actual])</totalsRowFormula>
    </tableColumn>
    <tableColumn id="4" xr3:uid="{E47B2F9F-9698-4D16-96CD-3E3A82455F01}" name="Left" totalsRowFunction="sum" dataDxfId="377" totalsRowDxfId="378"/>
  </tableColumns>
  <tableStyleInfo name="Table Style Mine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17500FCF-95A0-41F2-8B1A-0417CFCF3825}" name="Expenses_7" displayName="Expenses_7" ref="F12:I27" totalsRowCount="1" headerRowDxfId="376" totalsRowDxfId="375" headerRowBorderDxfId="373" tableBorderDxfId="374" totalsRowBorderDxfId="372">
  <autoFilter ref="F12:I26" xr:uid="{24A8353D-9D5D-42AC-A175-10AA233D4CCC}"/>
  <tableColumns count="4">
    <tableColumn id="1" xr3:uid="{86A10D33-31B5-4682-8FFD-1B96F5FC130A}" name="Category" totalsRowLabel="Total" dataDxfId="370" totalsRowDxfId="371"/>
    <tableColumn id="2" xr3:uid="{A7D12358-466D-411D-9EE9-845F3E38F208}" name="Planned" totalsRowFunction="custom" dataDxfId="368" totalsRowDxfId="369" dataCellStyle="Currency">
      <totalsRowFormula>SUM(G13:G26)</totalsRowFormula>
    </tableColumn>
    <tableColumn id="3" xr3:uid="{7E01687C-7B85-4E3F-BE9A-9EAACA4A8DDB}" name="Actual" totalsRowFunction="custom" dataDxfId="366" totalsRowDxfId="367" dataCellStyle="Currency">
      <totalsRowFormula>SUM(H13:H26)</totalsRowFormula>
    </tableColumn>
    <tableColumn id="4" xr3:uid="{3F304F03-5C1C-4C04-B121-B5857468496C}" name="Left" totalsRowFunction="sum" dataDxfId="364" totalsRowDxfId="365" dataCellStyle="Currency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C72B8815-B6B8-4509-9F1C-E031C2762CB3}" name="Bills_7" displayName="Bills_7" ref="K12:N27" totalsRowCount="1" headerRowDxfId="363" totalsRowDxfId="362" headerRowBorderDxfId="360" tableBorderDxfId="361" totalsRowBorderDxfId="359">
  <autoFilter ref="K12:N26" xr:uid="{EB5C5F31-13A9-4CEA-9193-37475751E1DB}"/>
  <tableColumns count="4">
    <tableColumn id="1" xr3:uid="{88766BEF-83F9-4FC0-957C-03256F8A12AF}" name="Bill" totalsRowLabel="Total" dataDxfId="357" totalsRowDxfId="358"/>
    <tableColumn id="2" xr3:uid="{B84BD2C8-E30C-4376-9BEB-23A697A0C6DD}" name="Due" dataDxfId="355" totalsRowDxfId="356"/>
    <tableColumn id="3" xr3:uid="{4F6A8767-EE2C-4828-B0C1-5A929E8A16BC}" name="Planned" totalsRowFunction="custom" dataDxfId="353" totalsRowDxfId="354" dataCellStyle="Currency">
      <totalsRowFormula>SUM(M13:M26)</totalsRowFormula>
    </tableColumn>
    <tableColumn id="4" xr3:uid="{F1EF7318-6B95-4DA6-86ED-CEDBA8BEA1A5}" name="Actual" totalsRowFunction="count" dataDxfId="351" totalsRowDxfId="352" dataCellStyle="Currency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0C1272E-4790-4D36-97AD-7F174379E10A}" name="Subscriptions_7" displayName="Subscriptions_7" ref="P12:S27" totalsRowCount="1" headerRowDxfId="350" totalsRowDxfId="349" headerRowBorderDxfId="347" tableBorderDxfId="348" totalsRowBorderDxfId="346">
  <autoFilter ref="P12:S26" xr:uid="{0E7F0D9A-AB58-44A4-9409-811D7CF48231}"/>
  <tableColumns count="4">
    <tableColumn id="1" xr3:uid="{5B46B45D-36C9-4C2E-A7EF-6CCB38AE805B}" name="Service" totalsRowLabel="Total" dataDxfId="344" totalsRowDxfId="345"/>
    <tableColumn id="2" xr3:uid="{40ED302C-4BDF-48EB-AEDB-E488A0E1399E}" name="Due" dataDxfId="342" totalsRowDxfId="343"/>
    <tableColumn id="3" xr3:uid="{117AEB93-8BBF-4088-8191-EBA0B20A19A9}" name="Planned" totalsRowFunction="custom" dataDxfId="340" totalsRowDxfId="341">
      <totalsRowFormula>SUM(R13:R26)</totalsRowFormula>
    </tableColumn>
    <tableColumn id="4" xr3:uid="{E7B47BE2-7136-4D5E-9907-1224203CCA22}" name="Actual" totalsRowFunction="count" dataDxfId="338" totalsRowDxfId="339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3D3E481-9F7B-4D88-83B9-BBEE08B799C6}" name="Savings_7" displayName="Savings_7" ref="U12:X27" totalsRowCount="1" headerRowDxfId="337" totalsRowDxfId="336" headerRowBorderDxfId="334" tableBorderDxfId="335" totalsRowBorderDxfId="333">
  <autoFilter ref="U12:X26" xr:uid="{B4BF81A8-B423-4B5B-B86F-3F525C6B18A9}"/>
  <tableColumns count="4">
    <tableColumn id="1" xr3:uid="{176A7F7E-ACD1-4994-9970-0A8A41AA94C2}" name="Aim" totalsRowLabel="Total" dataDxfId="331" totalsRowDxfId="332"/>
    <tableColumn id="2" xr3:uid="{0AB818A8-878C-4ED1-BA6C-1C612542FE7B}" name="Planned" totalsRowFunction="custom" dataDxfId="329" totalsRowDxfId="330">
      <totalsRowFormula>SUM(V13:V26)</totalsRowFormula>
    </tableColumn>
    <tableColumn id="3" xr3:uid="{2F52B28E-983F-415E-812C-057E9BE12AE0}" name="Actual" totalsRowFunction="sum" dataDxfId="327" totalsRowDxfId="328"/>
    <tableColumn id="4" xr3:uid="{2BBF3584-CACB-421F-8B02-2AB8CE5BCA68}" name="Left" totalsRowFunction="custom" dataDxfId="325" totalsRowDxfId="326">
      <calculatedColumnFormula>Savings_7[[#This Row],[Planned]]-Savings_7[[#This Row],[Actual]]</calculatedColumnFormula>
      <totalsRowFormula>SUM(Savings_7[Left])</totalsRow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80B98C41-9DC0-43F2-82D5-7D9D4923E50F}" name="Income_8" displayName="Income_8" ref="A12:D27" totalsRowCount="1" headerRowDxfId="324" totalsRowDxfId="323" headerRowBorderDxfId="321" tableBorderDxfId="322" totalsRowBorderDxfId="320">
  <autoFilter ref="A12:D26" xr:uid="{93B9FDA8-428F-476D-9993-DDB17573CCE8}"/>
  <tableColumns count="4">
    <tableColumn id="1" xr3:uid="{096450BD-5F23-4A24-85DF-C56103EA7372}" name="Source" totalsRowLabel="Total" dataDxfId="318" totalsRowDxfId="319"/>
    <tableColumn id="2" xr3:uid="{B5244B0A-2AA0-4C11-B1EF-9996BDA737C6}" name="Planned" totalsRowFunction="custom" dataDxfId="316" totalsRowDxfId="317">
      <totalsRowFormula>SUM(B13:B26)</totalsRowFormula>
    </tableColumn>
    <tableColumn id="3" xr3:uid="{79047DBA-EBB6-4123-8686-BECADD745A6C}" name="Actual" totalsRowFunction="custom" dataDxfId="314" totalsRowDxfId="315">
      <totalsRowFormula>SUM(Income_8[Actual])</totalsRowFormula>
    </tableColumn>
    <tableColumn id="4" xr3:uid="{86C979B2-89D3-4F9C-B21D-B3D7C1B7DBCF}" name="Left" totalsRowFunction="sum" dataDxfId="312" totalsRowDxfId="313"/>
  </tableColumns>
  <tableStyleInfo name="Table Style Mine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2E8B7E03-6DE5-46B9-B953-A0DDDD2C5040}" name="Expenses_8" displayName="Expenses_8" ref="F12:I27" totalsRowCount="1" headerRowDxfId="311" totalsRowDxfId="310" headerRowBorderDxfId="308" tableBorderDxfId="309" totalsRowBorderDxfId="307">
  <autoFilter ref="F12:I26" xr:uid="{24A8353D-9D5D-42AC-A175-10AA233D4CCC}"/>
  <tableColumns count="4">
    <tableColumn id="1" xr3:uid="{D1D803F1-28A7-4174-9C45-5F8C21FF4C07}" name="Category" totalsRowLabel="Total" dataDxfId="305" totalsRowDxfId="306"/>
    <tableColumn id="2" xr3:uid="{4B3B0A76-DABD-48AA-8289-000E763084B8}" name="Planned" totalsRowFunction="custom" dataDxfId="303" totalsRowDxfId="304" dataCellStyle="Currency">
      <totalsRowFormula>SUM(G13:G26)</totalsRowFormula>
    </tableColumn>
    <tableColumn id="3" xr3:uid="{0246D1AF-C2F2-4946-984C-594A36A3D7B0}" name="Actual" totalsRowFunction="custom" dataDxfId="301" totalsRowDxfId="302" dataCellStyle="Currency">
      <totalsRowFormula>SUM(H13:H26)</totalsRowFormula>
    </tableColumn>
    <tableColumn id="4" xr3:uid="{767F2DC4-4803-4841-B939-CA1627E07668}" name="Left" totalsRowFunction="sum" dataDxfId="299" totalsRowDxfId="300" dataCellStyle="Currency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4A9D9D2D-0C60-4DE6-AC5E-E5DFD34AAF02}" name="Bills_8" displayName="Bills_8" ref="K12:N27" totalsRowCount="1" headerRowDxfId="298" totalsRowDxfId="297" headerRowBorderDxfId="295" tableBorderDxfId="296" totalsRowBorderDxfId="294">
  <autoFilter ref="K12:N26" xr:uid="{EB5C5F31-13A9-4CEA-9193-37475751E1DB}"/>
  <tableColumns count="4">
    <tableColumn id="1" xr3:uid="{85CC5BEE-984F-45DE-AD19-303F3FA74EC1}" name="Bill" totalsRowLabel="Total" dataDxfId="292" totalsRowDxfId="293"/>
    <tableColumn id="2" xr3:uid="{02F3E70B-539C-4A08-B908-A7A38545691F}" name="Due" dataDxfId="290" totalsRowDxfId="291"/>
    <tableColumn id="3" xr3:uid="{91039A47-E353-4215-A0D4-21405D63E64C}" name="Planned" totalsRowFunction="custom" dataDxfId="288" totalsRowDxfId="289" dataCellStyle="Currency">
      <totalsRowFormula>SUM(M13:M26)</totalsRowFormula>
    </tableColumn>
    <tableColumn id="4" xr3:uid="{7AA81261-A73A-4B52-8231-1BCFD1C9D3FB}" name="Actual" totalsRowFunction="count" dataDxfId="286" totalsRowDxfId="287" dataCellStyle="Currency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3B9CBE54-8EC2-4D41-8007-7EFAF3275E17}" name="Subscriptions_8" displayName="Subscriptions_8" ref="P12:S27" totalsRowCount="1" headerRowDxfId="285" totalsRowDxfId="284" headerRowBorderDxfId="282" tableBorderDxfId="283" totalsRowBorderDxfId="281">
  <autoFilter ref="P12:S26" xr:uid="{0E7F0D9A-AB58-44A4-9409-811D7CF48231}"/>
  <tableColumns count="4">
    <tableColumn id="1" xr3:uid="{2BFD59B9-7CDD-4C9B-80BC-C295099D6407}" name="Service" totalsRowLabel="Total" dataDxfId="279" totalsRowDxfId="280"/>
    <tableColumn id="2" xr3:uid="{D44809A9-9C2D-425B-B867-A1BE4CB5B411}" name="Due" dataDxfId="277" totalsRowDxfId="278"/>
    <tableColumn id="3" xr3:uid="{6A1B08C6-4383-4C39-BB76-A65D00D6965A}" name="Planned" totalsRowFunction="custom" dataDxfId="275" totalsRowDxfId="276">
      <totalsRowFormula>SUM(R13:R26)</totalsRowFormula>
    </tableColumn>
    <tableColumn id="4" xr3:uid="{41961188-65F9-4011-8431-87CC3A29EDDA}" name="Actual" totalsRowFunction="count" dataDxfId="273" totalsRowDxfId="274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41020EFD-FCC0-4983-B711-C3AF400A21A3}" name="Savings_8" displayName="Savings_8" ref="U12:X27" totalsRowCount="1" headerRowDxfId="272" totalsRowDxfId="271" headerRowBorderDxfId="269" tableBorderDxfId="270" totalsRowBorderDxfId="268">
  <autoFilter ref="U12:X26" xr:uid="{B4BF81A8-B423-4B5B-B86F-3F525C6B18A9}"/>
  <tableColumns count="4">
    <tableColumn id="1" xr3:uid="{99977E9C-94BC-4326-9C95-8F105D89F610}" name="Aim" totalsRowLabel="Total" dataDxfId="266" totalsRowDxfId="267"/>
    <tableColumn id="2" xr3:uid="{EC70EB02-D35C-4894-BED5-A400330F52E8}" name="Planned" totalsRowFunction="custom" dataDxfId="264" totalsRowDxfId="265">
      <totalsRowFormula>SUM(V13:V26)</totalsRowFormula>
    </tableColumn>
    <tableColumn id="3" xr3:uid="{17227E72-A914-4672-9716-B5212E035D74}" name="Actual" totalsRowFunction="sum" dataDxfId="262" totalsRowDxfId="263"/>
    <tableColumn id="4" xr3:uid="{99BA248D-6294-4412-B3A3-6F7E9E82106D}" name="Left" totalsRowFunction="custom" dataDxfId="260" totalsRowDxfId="261">
      <calculatedColumnFormula>Savings_8[[#This Row],[Planned]]-Savings_8[[#This Row],[Actual]]</calculatedColumnFormula>
      <totalsRowFormula>SUM(Savings_8[Left])</totalsRow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D81D000C-A3BC-484A-89FF-476D380DE638}" name="Income_9" displayName="Income_9" ref="A12:D27" totalsRowCount="1" headerRowDxfId="259" totalsRowDxfId="258" headerRowBorderDxfId="256" tableBorderDxfId="257" totalsRowBorderDxfId="255">
  <autoFilter ref="A12:D26" xr:uid="{93B9FDA8-428F-476D-9993-DDB17573CCE8}"/>
  <tableColumns count="4">
    <tableColumn id="1" xr3:uid="{2D8BA1D0-1AF1-4BF0-8AC4-5ADBB38E4D73}" name="Source" totalsRowLabel="Total" dataDxfId="253" totalsRowDxfId="254"/>
    <tableColumn id="2" xr3:uid="{E808E8AD-5F24-4EC5-A159-8314A20F3E9E}" name="Planned" totalsRowFunction="custom" dataDxfId="251" totalsRowDxfId="252">
      <totalsRowFormula>SUM(B13:B26)</totalsRowFormula>
    </tableColumn>
    <tableColumn id="3" xr3:uid="{E1E6B9BD-9451-4AA6-A3F4-DA9996CA7675}" name="Actual" totalsRowFunction="custom" dataDxfId="249" totalsRowDxfId="250">
      <totalsRowFormula>SUM(Income_9[Actual])</totalsRowFormula>
    </tableColumn>
    <tableColumn id="4" xr3:uid="{15FC6CC0-ACB6-4A9C-A52E-98C391E6C658}" name="Left" totalsRowFunction="sum" dataDxfId="247" totalsRowDxfId="248"/>
  </tableColumns>
  <tableStyleInfo name="Table Style Mine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F1D4FC77-371A-4C91-8995-FBC57F5E90E5}" name="Expenses_9" displayName="Expenses_9" ref="F12:I27" totalsRowCount="1" headerRowDxfId="246" totalsRowDxfId="245" headerRowBorderDxfId="243" tableBorderDxfId="244" totalsRowBorderDxfId="242">
  <autoFilter ref="F12:I26" xr:uid="{24A8353D-9D5D-42AC-A175-10AA233D4CCC}"/>
  <tableColumns count="4">
    <tableColumn id="1" xr3:uid="{0675CEFE-6E3D-44F3-8527-3530A31313F2}" name="Category" totalsRowLabel="Total" dataDxfId="240" totalsRowDxfId="241"/>
    <tableColumn id="2" xr3:uid="{D5E99652-5AE3-49A0-931A-15619F424198}" name="Planned" totalsRowFunction="custom" dataDxfId="238" totalsRowDxfId="239" dataCellStyle="Currency">
      <totalsRowFormula>SUM(G13:G26)</totalsRowFormula>
    </tableColumn>
    <tableColumn id="3" xr3:uid="{5E928555-E6EE-4C73-82E7-C6D8E7297BF0}" name="Actual" totalsRowFunction="custom" dataDxfId="236" totalsRowDxfId="237" dataCellStyle="Currency">
      <totalsRowFormula>SUM(H13:H26)</totalsRowFormula>
    </tableColumn>
    <tableColumn id="4" xr3:uid="{75C268E0-2902-436E-B672-8830D20CC828}" name="Left" totalsRowFunction="sum" dataDxfId="234" totalsRowDxfId="235" dataCellStyle="Currency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E1555D1D-5BCC-4C93-A9EA-4939F4BDD716}" name="Bills_9" displayName="Bills_9" ref="K12:N27" totalsRowCount="1" headerRowDxfId="233" totalsRowDxfId="232" headerRowBorderDxfId="230" tableBorderDxfId="231" totalsRowBorderDxfId="229">
  <autoFilter ref="K12:N26" xr:uid="{EB5C5F31-13A9-4CEA-9193-37475751E1DB}"/>
  <tableColumns count="4">
    <tableColumn id="1" xr3:uid="{8D5D6A20-42DA-46C8-A59B-92F83F4CC7AE}" name="Bill" totalsRowLabel="Total" dataDxfId="227" totalsRowDxfId="228"/>
    <tableColumn id="2" xr3:uid="{CEBB6EAB-9433-4566-AC2B-793F7639B276}" name="Due" dataDxfId="225" totalsRowDxfId="226"/>
    <tableColumn id="3" xr3:uid="{72C793AE-AFF3-4E81-B787-06BF6FBE94B7}" name="Planned" totalsRowFunction="custom" dataDxfId="223" totalsRowDxfId="224" dataCellStyle="Currency">
      <totalsRowFormula>SUM(M13:M26)</totalsRowFormula>
    </tableColumn>
    <tableColumn id="4" xr3:uid="{501B862F-DF24-420F-8559-68DC2303AD2C}" name="Actual" totalsRowFunction="count" dataDxfId="221" totalsRowDxfId="222" dataCellStyle="Currency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DB430813-7936-495D-B5D7-DCF9EAD409C3}" name="Subscriptions_9" displayName="Subscriptions_9" ref="P12:S27" totalsRowCount="1" headerRowDxfId="220" totalsRowDxfId="219" headerRowBorderDxfId="217" tableBorderDxfId="218" totalsRowBorderDxfId="216">
  <autoFilter ref="P12:S26" xr:uid="{0E7F0D9A-AB58-44A4-9409-811D7CF48231}"/>
  <tableColumns count="4">
    <tableColumn id="1" xr3:uid="{E621F7B3-BD43-40BB-ADF7-AF341AE8DB58}" name="Service" totalsRowLabel="Total" dataDxfId="214" totalsRowDxfId="215"/>
    <tableColumn id="2" xr3:uid="{56989A6E-A571-4503-9289-725006537655}" name="Due" dataDxfId="212" totalsRowDxfId="213"/>
    <tableColumn id="3" xr3:uid="{C14D45B7-C99F-4BA7-8924-D6BBF13AA993}" name="Planned" totalsRowFunction="custom" dataDxfId="210" totalsRowDxfId="211">
      <totalsRowFormula>SUM(R13:R26)</totalsRowFormula>
    </tableColumn>
    <tableColumn id="4" xr3:uid="{C8A164D0-11AE-42B4-A3A1-40DEFE8410EC}" name="Actual" totalsRowFunction="count" dataDxfId="208" totalsRowDxfId="209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EE842CB4-D8CB-48E5-9D1F-129DDD30ECCE}" name="Savings_9" displayName="Savings_9" ref="U12:X27" totalsRowCount="1" headerRowDxfId="207" totalsRowDxfId="206" headerRowBorderDxfId="204" tableBorderDxfId="205" totalsRowBorderDxfId="203">
  <autoFilter ref="U12:X26" xr:uid="{B4BF81A8-B423-4B5B-B86F-3F525C6B18A9}"/>
  <tableColumns count="4">
    <tableColumn id="1" xr3:uid="{A3CF51E4-D37E-402F-92D1-CD161CA7C73E}" name="Aim" totalsRowLabel="Total" dataDxfId="201" totalsRowDxfId="202"/>
    <tableColumn id="2" xr3:uid="{8B68718F-25DD-47F1-9D8C-D1CB2B8EAA32}" name="Planned" totalsRowFunction="custom" dataDxfId="199" totalsRowDxfId="200">
      <totalsRowFormula>SUM(V13:V26)</totalsRowFormula>
    </tableColumn>
    <tableColumn id="3" xr3:uid="{BAD82D08-8959-43ED-9D95-79ACAD9B316C}" name="Actual" totalsRowFunction="sum" dataDxfId="197" totalsRowDxfId="198"/>
    <tableColumn id="4" xr3:uid="{2CE5C7AF-861C-4552-8743-A78A4E1CA30D}" name="Left" totalsRowFunction="custom" dataDxfId="195" totalsRowDxfId="196">
      <calculatedColumnFormula>Savings_9[[#This Row],[Planned]]-Savings_9[[#This Row],[Actual]]</calculatedColumnFormula>
      <totalsRowFormula>SUM(Savings_9[Left])</totalsRow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B2620BF6-4E31-414A-89EB-2D109EC520D2}" name="Income_10" displayName="Income_10" ref="A12:D27" totalsRowCount="1" headerRowDxfId="194" totalsRowDxfId="193" headerRowBorderDxfId="191" tableBorderDxfId="192" totalsRowBorderDxfId="190">
  <autoFilter ref="A12:D26" xr:uid="{93B9FDA8-428F-476D-9993-DDB17573CCE8}"/>
  <tableColumns count="4">
    <tableColumn id="1" xr3:uid="{662DE74E-51DB-4CE5-9C15-96C8C5DD0304}" name="Source" totalsRowLabel="Total" dataDxfId="188" totalsRowDxfId="189"/>
    <tableColumn id="2" xr3:uid="{1A857F57-8FB0-44DA-9535-B1CBD7418A36}" name="Planned" totalsRowFunction="custom" dataDxfId="186" totalsRowDxfId="187">
      <totalsRowFormula>SUM(B13:B26)</totalsRowFormula>
    </tableColumn>
    <tableColumn id="3" xr3:uid="{1F6ECDA5-D4F5-4260-89F8-D7F1EE90D4F6}" name="Actual" totalsRowFunction="custom" dataDxfId="184" totalsRowDxfId="185">
      <totalsRowFormula>SUM(Income_10[Actual])</totalsRowFormula>
    </tableColumn>
    <tableColumn id="4" xr3:uid="{ED7522CE-B5CC-4F6D-895E-89FEE757C539}" name="Left" totalsRowFunction="sum" dataDxfId="182" totalsRowDxfId="183"/>
  </tableColumns>
  <tableStyleInfo name="Table Style Mine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8B662F3-AE69-47D3-B373-F51D542578A2}" name="Expenses_10" displayName="Expenses_10" ref="F12:I27" totalsRowCount="1" headerRowDxfId="181" totalsRowDxfId="180" headerRowBorderDxfId="178" tableBorderDxfId="179" totalsRowBorderDxfId="177">
  <autoFilter ref="F12:I26" xr:uid="{24A8353D-9D5D-42AC-A175-10AA233D4CCC}"/>
  <tableColumns count="4">
    <tableColumn id="1" xr3:uid="{1B34528F-97B4-4DF7-BCAA-050DE3EBDA37}" name="Category" totalsRowLabel="Total" dataDxfId="175" totalsRowDxfId="176"/>
    <tableColumn id="2" xr3:uid="{D7CA87A0-FC9C-47D8-9A29-09820A86B618}" name="Planned" totalsRowFunction="custom" dataDxfId="173" totalsRowDxfId="174" dataCellStyle="Currency">
      <totalsRowFormula>SUM(G13:G26)</totalsRowFormula>
    </tableColumn>
    <tableColumn id="3" xr3:uid="{4E7B6752-A3F3-4492-AA90-719565B96AE9}" name="Actual" totalsRowFunction="custom" dataDxfId="171" totalsRowDxfId="172" dataCellStyle="Currency">
      <totalsRowFormula>SUM(H13:H26)</totalsRowFormula>
    </tableColumn>
    <tableColumn id="4" xr3:uid="{E45E7455-388A-4BAC-B4B4-2D6A2A718A2C}" name="Left" totalsRowFunction="sum" dataDxfId="169" totalsRowDxfId="170" dataCellStyle="Currency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E5D8B726-0121-43A5-8A67-0B86CB57AD44}" name="Bills_10" displayName="Bills_10" ref="K12:N27" totalsRowCount="1" headerRowDxfId="168" totalsRowDxfId="167" headerRowBorderDxfId="165" tableBorderDxfId="166" totalsRowBorderDxfId="164">
  <autoFilter ref="K12:N26" xr:uid="{EB5C5F31-13A9-4CEA-9193-37475751E1DB}"/>
  <tableColumns count="4">
    <tableColumn id="1" xr3:uid="{C1FE5A7A-0B8D-449C-9589-9A3C9FBBAD4B}" name="Bill" totalsRowLabel="Total" dataDxfId="162" totalsRowDxfId="163"/>
    <tableColumn id="2" xr3:uid="{486AAD87-E80D-4E3E-937B-D6EFD7D537A6}" name="Due" dataDxfId="160" totalsRowDxfId="161"/>
    <tableColumn id="3" xr3:uid="{D45C3579-48C7-451A-8132-F25B70F58D8A}" name="Planned" totalsRowFunction="custom" dataDxfId="158" totalsRowDxfId="159" dataCellStyle="Currency">
      <totalsRowFormula>SUM(M13:M26)</totalsRowFormula>
    </tableColumn>
    <tableColumn id="4" xr3:uid="{F068CBC6-5E76-41DB-AC45-2AACDB7AF823}" name="Actual" totalsRowFunction="count" dataDxfId="156" totalsRowDxfId="157" dataCellStyle="Currency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E911606F-9DC4-4BB2-951C-C7C158F057B7}" name="Subscriptions_10" displayName="Subscriptions_10" ref="P12:S27" totalsRowCount="1" headerRowDxfId="155" totalsRowDxfId="154" headerRowBorderDxfId="152" tableBorderDxfId="153" totalsRowBorderDxfId="151">
  <autoFilter ref="P12:S26" xr:uid="{0E7F0D9A-AB58-44A4-9409-811D7CF48231}"/>
  <tableColumns count="4">
    <tableColumn id="1" xr3:uid="{4DA5210A-205A-4B91-AC37-64A28DF100F4}" name="Service" totalsRowLabel="Total" dataDxfId="149" totalsRowDxfId="150"/>
    <tableColumn id="2" xr3:uid="{B3C137C1-056B-4E51-9E4A-7CDF73BAC46D}" name="Due" dataDxfId="147" totalsRowDxfId="148"/>
    <tableColumn id="3" xr3:uid="{2BAE397B-B44A-4360-93CB-569D88C7EAF6}" name="Planned" totalsRowFunction="custom" dataDxfId="145" totalsRowDxfId="146">
      <totalsRowFormula>SUM(R13:R26)</totalsRowFormula>
    </tableColumn>
    <tableColumn id="4" xr3:uid="{D70402F3-0028-44F1-9A8F-5A51A00958FC}" name="Actual" totalsRowFunction="count" dataDxfId="143" totalsRowDxfId="144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E161C290-E49A-4E2C-BE65-40149811F873}" name="Savings_10" displayName="Savings_10" ref="U12:X27" totalsRowCount="1" headerRowDxfId="142" totalsRowDxfId="141" headerRowBorderDxfId="139" tableBorderDxfId="140" totalsRowBorderDxfId="138">
  <autoFilter ref="U12:X26" xr:uid="{B4BF81A8-B423-4B5B-B86F-3F525C6B18A9}"/>
  <tableColumns count="4">
    <tableColumn id="1" xr3:uid="{19732CFC-42C5-4FD2-92ED-8282E8DEE07F}" name="Aim" totalsRowLabel="Total" dataDxfId="136" totalsRowDxfId="137"/>
    <tableColumn id="2" xr3:uid="{2A8F7D85-B72E-47AA-8AC0-2E0F2F8A7AB3}" name="Planned" totalsRowFunction="custom" dataDxfId="134" totalsRowDxfId="135">
      <totalsRowFormula>SUM(V13:V26)</totalsRowFormula>
    </tableColumn>
    <tableColumn id="3" xr3:uid="{2D959DCB-0F26-4128-B54B-2CCF892A751D}" name="Actual" totalsRowFunction="sum" dataDxfId="132" totalsRowDxfId="133"/>
    <tableColumn id="4" xr3:uid="{37463549-997C-42DC-A157-6C1990526D11}" name="Left" totalsRowFunction="custom" dataDxfId="130" totalsRowDxfId="131">
      <calculatedColumnFormula>Savings_10[[#This Row],[Planned]]-Savings_10[[#This Row],[Actual]]</calculatedColumnFormula>
      <totalsRowFormula>SUM(Savings_10[Left])</totalsRow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53C47A73-844E-4809-8FCC-A0206F433C1F}" name="Income_11" displayName="Income_11" ref="A12:D27" totalsRowCount="1" headerRowDxfId="129" totalsRowDxfId="128" headerRowBorderDxfId="126" tableBorderDxfId="127" totalsRowBorderDxfId="125">
  <autoFilter ref="A12:D26" xr:uid="{93B9FDA8-428F-476D-9993-DDB17573CCE8}"/>
  <tableColumns count="4">
    <tableColumn id="1" xr3:uid="{1905CBC0-10C5-422F-AB06-5885DAE869BB}" name="Source" totalsRowLabel="Total" dataDxfId="123" totalsRowDxfId="124"/>
    <tableColumn id="2" xr3:uid="{A4E4908E-8436-40DC-97C2-9D5FFFC9F453}" name="Planned" totalsRowFunction="custom" dataDxfId="121" totalsRowDxfId="122">
      <totalsRowFormula>SUM(B13:B26)</totalsRowFormula>
    </tableColumn>
    <tableColumn id="3" xr3:uid="{07685BA2-9AF6-4936-BCA9-5A61786EE6E6}" name="Actual" totalsRowFunction="custom" dataDxfId="119" totalsRowDxfId="120">
      <totalsRowFormula>SUM(Income_11[Actual])</totalsRowFormula>
    </tableColumn>
    <tableColumn id="4" xr3:uid="{3E34E34D-EDD8-4DEB-8DE2-DC7ECB25C559}" name="Left" totalsRowFunction="sum" dataDxfId="117" totalsRowDxfId="118"/>
  </tableColumns>
  <tableStyleInfo name="Table Style Mine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C99F0C92-0C79-47B1-A2E6-A7CF4F98C978}" name="Expenses_11" displayName="Expenses_11" ref="F12:I27" totalsRowCount="1" headerRowDxfId="116" totalsRowDxfId="115" headerRowBorderDxfId="113" tableBorderDxfId="114" totalsRowBorderDxfId="112">
  <autoFilter ref="F12:I26" xr:uid="{24A8353D-9D5D-42AC-A175-10AA233D4CCC}"/>
  <tableColumns count="4">
    <tableColumn id="1" xr3:uid="{AB02EE94-12ED-4521-B6B1-A482DABE5186}" name="Category" totalsRowLabel="Total" dataDxfId="110" totalsRowDxfId="111"/>
    <tableColumn id="2" xr3:uid="{4EF81C6C-96D0-41B5-B2DC-7D9C91A69E97}" name="Planned" totalsRowFunction="custom" dataDxfId="108" totalsRowDxfId="109" dataCellStyle="Currency">
      <totalsRowFormula>SUM(G13:G26)</totalsRowFormula>
    </tableColumn>
    <tableColumn id="3" xr3:uid="{36B82C13-F8E2-4F33-929E-EEB6F9CCAAC3}" name="Actual" totalsRowFunction="custom" dataDxfId="106" totalsRowDxfId="107" dataCellStyle="Currency">
      <totalsRowFormula>SUM(H13:H26)</totalsRowFormula>
    </tableColumn>
    <tableColumn id="4" xr3:uid="{DB5E19D9-9D9B-4150-8370-F0167AFD0521}" name="Left" totalsRowFunction="sum" dataDxfId="104" totalsRowDxfId="105" dataCellStyle="Currency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58C3D478-E22F-482E-8935-CC31EB6C7B83}" name="Bills_11" displayName="Bills_11" ref="K12:N27" totalsRowCount="1" headerRowDxfId="103" totalsRowDxfId="102" headerRowBorderDxfId="100" tableBorderDxfId="101" totalsRowBorderDxfId="99">
  <autoFilter ref="K12:N26" xr:uid="{EB5C5F31-13A9-4CEA-9193-37475751E1DB}"/>
  <tableColumns count="4">
    <tableColumn id="1" xr3:uid="{8C38F292-79FA-45F4-A608-566E5C795AAC}" name="Bill" totalsRowLabel="Total" dataDxfId="97" totalsRowDxfId="98"/>
    <tableColumn id="2" xr3:uid="{87F6E479-9A03-4971-A84F-DE796B34D1C5}" name="Due" dataDxfId="95" totalsRowDxfId="96"/>
    <tableColumn id="3" xr3:uid="{811F0D40-A514-4A4E-8576-7BFE0DBB141E}" name="Planned" totalsRowFunction="custom" dataDxfId="93" totalsRowDxfId="94" dataCellStyle="Currency">
      <totalsRowFormula>SUM(M13:M26)</totalsRowFormula>
    </tableColumn>
    <tableColumn id="4" xr3:uid="{DBE58CA3-7C77-4DE5-89A9-32B177006901}" name="Actual" totalsRowFunction="count" dataDxfId="91" totalsRowDxfId="92" dataCellStyle="Currency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8AD17539-E737-4D86-A9B3-5BCE0DC4C4FA}" name="Subscriptions_11" displayName="Subscriptions_11" ref="P12:S27" totalsRowCount="1" headerRowDxfId="90" totalsRowDxfId="89" headerRowBorderDxfId="87" tableBorderDxfId="88" totalsRowBorderDxfId="86">
  <autoFilter ref="P12:S26" xr:uid="{0E7F0D9A-AB58-44A4-9409-811D7CF48231}"/>
  <tableColumns count="4">
    <tableColumn id="1" xr3:uid="{26343A9F-7C07-45DB-B2BC-B29547624BE3}" name="Service" totalsRowLabel="Total" dataDxfId="84" totalsRowDxfId="85"/>
    <tableColumn id="2" xr3:uid="{D19B5580-5E2C-4169-8E2C-0A07A8154E56}" name="Due" dataDxfId="82" totalsRowDxfId="83"/>
    <tableColumn id="3" xr3:uid="{F35083A9-C3DB-4C65-A2E6-6B7357BD4615}" name="Planned" totalsRowFunction="custom" dataDxfId="80" totalsRowDxfId="81">
      <totalsRowFormula>SUM(R13:R26)</totalsRowFormula>
    </tableColumn>
    <tableColumn id="4" xr3:uid="{2B57C01B-CA11-4BBA-AB33-A23D40EF609F}" name="Actual" totalsRowFunction="count" dataDxfId="78" totalsRowDxfId="79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569A91E-6192-4FBA-AA78-1BF9F8AE388F}" name="Savings_11" displayName="Savings_11" ref="U12:X27" totalsRowCount="1" headerRowDxfId="77" totalsRowDxfId="76" headerRowBorderDxfId="74" tableBorderDxfId="75" totalsRowBorderDxfId="73">
  <autoFilter ref="U12:X26" xr:uid="{B4BF81A8-B423-4B5B-B86F-3F525C6B18A9}"/>
  <tableColumns count="4">
    <tableColumn id="1" xr3:uid="{8CB35C84-B4FF-40CA-8878-742528C55D49}" name="Aim" totalsRowLabel="Total" dataDxfId="71" totalsRowDxfId="72"/>
    <tableColumn id="2" xr3:uid="{F306E5EB-7E15-49FB-B182-6C1CE3B6801E}" name="Planned" totalsRowFunction="custom" dataDxfId="69" totalsRowDxfId="70">
      <totalsRowFormula>SUM(V13:V26)</totalsRowFormula>
    </tableColumn>
    <tableColumn id="3" xr3:uid="{1D6F3D68-57C5-40CB-AF59-2B3509D6A2ED}" name="Actual" totalsRowFunction="sum" dataDxfId="67" totalsRowDxfId="68"/>
    <tableColumn id="4" xr3:uid="{F0BE3635-A3A3-422A-89F3-C6403FDBD490}" name="Left" totalsRowFunction="custom" dataDxfId="65" totalsRowDxfId="66">
      <calculatedColumnFormula>Savings_11[[#This Row],[Planned]]-Savings_11[[#This Row],[Actual]]</calculatedColumnFormula>
      <totalsRowFormula>SUM(Savings_11[Left])</totalsRowFormula>
    </tableColumn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70DB4343-D294-4E83-A48B-0D101E2BDA41}" name="Income_12" displayName="Income_12" ref="A12:D27" totalsRowCount="1" headerRowDxfId="64" totalsRowDxfId="63" headerRowBorderDxfId="61" tableBorderDxfId="62" totalsRowBorderDxfId="60">
  <autoFilter ref="A12:D26" xr:uid="{93B9FDA8-428F-476D-9993-DDB17573CCE8}"/>
  <tableColumns count="4">
    <tableColumn id="1" xr3:uid="{DBB94AB2-3791-4BF3-9ABE-9E30B12ECADD}" name="Source" totalsRowLabel="Total" dataDxfId="58" totalsRowDxfId="59"/>
    <tableColumn id="2" xr3:uid="{061B980C-762C-42E0-9A40-DA2E18E5CD32}" name="Planned" totalsRowFunction="custom" dataDxfId="56" totalsRowDxfId="57">
      <totalsRowFormula>SUM(B13:B26)</totalsRowFormula>
    </tableColumn>
    <tableColumn id="3" xr3:uid="{ABAC868C-0B73-46AA-AD43-8EBE7E831803}" name="Actual" totalsRowFunction="custom" dataDxfId="54" totalsRowDxfId="55">
      <totalsRowFormula>SUM(Income_12[Actual])</totalsRowFormula>
    </tableColumn>
    <tableColumn id="4" xr3:uid="{12AB22B5-CB95-455C-B4A4-D5BDD980228D}" name="Left" totalsRowFunction="sum" dataDxfId="52" totalsRowDxfId="53"/>
  </tableColumns>
  <tableStyleInfo name="Table Style Mine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C4C67AD-E32B-4CA9-B47A-0F7C0F24E3E0}" name="Expenses_12" displayName="Expenses_12" ref="F12:I27" totalsRowCount="1" headerRowDxfId="51" totalsRowDxfId="50" headerRowBorderDxfId="48" tableBorderDxfId="49" totalsRowBorderDxfId="47">
  <autoFilter ref="F12:I26" xr:uid="{24A8353D-9D5D-42AC-A175-10AA233D4CCC}"/>
  <tableColumns count="4">
    <tableColumn id="1" xr3:uid="{9E5E382A-253D-4382-A8E9-14F989482CA2}" name="Category" totalsRowLabel="Total" dataDxfId="45" totalsRowDxfId="46"/>
    <tableColumn id="2" xr3:uid="{5F7F5761-0412-4D4C-833C-A7C18ED5A41B}" name="Planned" totalsRowFunction="custom" dataDxfId="43" totalsRowDxfId="44" dataCellStyle="Currency">
      <totalsRowFormula>SUM(G13:G26)</totalsRowFormula>
    </tableColumn>
    <tableColumn id="3" xr3:uid="{7EAD47F7-566E-4435-9DCD-E772D6603616}" name="Actual" totalsRowFunction="custom" dataDxfId="41" totalsRowDxfId="42" dataCellStyle="Currency">
      <totalsRowFormula>SUM(H13:H26)</totalsRowFormula>
    </tableColumn>
    <tableColumn id="4" xr3:uid="{BCED0822-EFCE-4343-8CCE-156274639E52}" name="Left" totalsRowFunction="sum" dataDxfId="39" totalsRowDxfId="40" dataCellStyle="Currency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B484A401-FC70-4522-9E8E-C786A46F6533}" name="Bills_12" displayName="Bills_12" ref="K12:N27" totalsRowCount="1" headerRowDxfId="38" totalsRowDxfId="37" headerRowBorderDxfId="35" tableBorderDxfId="36" totalsRowBorderDxfId="34">
  <autoFilter ref="K12:N26" xr:uid="{EB5C5F31-13A9-4CEA-9193-37475751E1DB}"/>
  <tableColumns count="4">
    <tableColumn id="1" xr3:uid="{7A55542E-8352-4394-9CB8-D538D0B64AF4}" name="Bill" totalsRowLabel="Total" dataDxfId="32" totalsRowDxfId="33"/>
    <tableColumn id="2" xr3:uid="{6A8DEA21-7DD4-4053-84FD-BA2A750E640D}" name="Due" dataDxfId="30" totalsRowDxfId="31"/>
    <tableColumn id="3" xr3:uid="{1E9284F9-F6E7-45F6-80D2-E31464E68525}" name="Planned" totalsRowFunction="custom" dataDxfId="28" totalsRowDxfId="29" dataCellStyle="Currency">
      <totalsRowFormula>SUM(M13:M26)</totalsRowFormula>
    </tableColumn>
    <tableColumn id="4" xr3:uid="{BC1197A6-B5FA-42F3-9F6B-E681D5DE2261}" name="Actual" totalsRowFunction="count" dataDxfId="26" totalsRowDxfId="27" dataCellStyle="Currency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7573716B-5C83-4421-AF15-72851378BF3F}" name="Subscriptions_12" displayName="Subscriptions_12" ref="P12:S27" totalsRowCount="1" headerRowDxfId="25" totalsRowDxfId="24" headerRowBorderDxfId="22" tableBorderDxfId="23" totalsRowBorderDxfId="21">
  <autoFilter ref="P12:S26" xr:uid="{0E7F0D9A-AB58-44A4-9409-811D7CF48231}"/>
  <tableColumns count="4">
    <tableColumn id="1" xr3:uid="{B7AF4759-DF7B-4888-A90A-1C8DC201E8C1}" name="Service" totalsRowLabel="Total" dataDxfId="19" totalsRowDxfId="20"/>
    <tableColumn id="2" xr3:uid="{441AAC9D-F38A-4DBB-98B4-AC4C544805B1}" name="Due" dataDxfId="17" totalsRowDxfId="18"/>
    <tableColumn id="3" xr3:uid="{ECEB8F2E-A76D-4F97-8267-B54451B8D631}" name="Planned" totalsRowFunction="custom" dataDxfId="15" totalsRowDxfId="16">
      <totalsRowFormula>SUM(R13:R26)</totalsRowFormula>
    </tableColumn>
    <tableColumn id="4" xr3:uid="{F911B4D5-6AF0-4913-BA93-2736E41243B2}" name="Actual" totalsRowFunction="count" dataDxfId="13" totalsRowDxfId="14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E2C3524A-E9D6-4A5D-B76C-F5FDC995696F}" name="Savings_12" displayName="Savings_12" ref="U12:X27" totalsRowCount="1" headerRowDxfId="12" totalsRowDxfId="11" headerRowBorderDxfId="9" tableBorderDxfId="10" totalsRowBorderDxfId="8">
  <autoFilter ref="U12:X26" xr:uid="{B4BF81A8-B423-4B5B-B86F-3F525C6B18A9}"/>
  <tableColumns count="4">
    <tableColumn id="1" xr3:uid="{8FE96BD4-FAFB-479E-8598-423C4031D881}" name="Aim" totalsRowLabel="Total" dataDxfId="6" totalsRowDxfId="7"/>
    <tableColumn id="2" xr3:uid="{55F655A5-66D6-4CAB-8F5D-F75BE5EB9A05}" name="Planned" totalsRowFunction="custom" dataDxfId="4" totalsRowDxfId="5">
      <totalsRowFormula>SUM(V13:V26)</totalsRowFormula>
    </tableColumn>
    <tableColumn id="3" xr3:uid="{25D12D0C-6A19-4B2D-B515-9427FBBEE736}" name="Actual" totalsRowFunction="sum" dataDxfId="2" totalsRowDxfId="3"/>
    <tableColumn id="4" xr3:uid="{3D6CD665-3FAA-41CA-9D01-A82F487F1106}" name="Left" totalsRowFunction="custom" dataDxfId="0" totalsRowDxfId="1">
      <calculatedColumnFormula>Savings_12[[#This Row],[Planned]]-Savings_12[[#This Row],[Actual]]</calculatedColumnFormula>
      <totalsRowFormula>SUM(Savings_12[Left])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Aspek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4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drawing" Target="../drawings/drawing5.xml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drawing" Target="../drawings/drawing6.xml"/><Relationship Id="rId6" Type="http://schemas.openxmlformats.org/officeDocument/2006/relationships/table" Target="../tables/table30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drawing" Target="../drawings/drawing7.xml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drawing" Target="../drawings/drawing8.xml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drawing" Target="../drawings/drawing9.xml"/><Relationship Id="rId6" Type="http://schemas.openxmlformats.org/officeDocument/2006/relationships/table" Target="../tables/table45.xml"/><Relationship Id="rId5" Type="http://schemas.openxmlformats.org/officeDocument/2006/relationships/table" Target="../tables/table44.xml"/><Relationship Id="rId4" Type="http://schemas.openxmlformats.org/officeDocument/2006/relationships/table" Target="../tables/table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drawing" Target="../drawings/drawing10.xml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drawing" Target="../drawings/drawing11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drawing" Target="../drawings/drawing12.xml"/><Relationship Id="rId6" Type="http://schemas.openxmlformats.org/officeDocument/2006/relationships/table" Target="../tables/table60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CB483-69A1-40A7-B143-580A9C6FC79C}">
  <sheetPr codeName="Sheet1"/>
  <dimension ref="A1:X27"/>
  <sheetViews>
    <sheetView tabSelected="1" zoomScaleNormal="100" workbookViewId="0">
      <selection activeCell="A3" sqref="A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1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5655.5</v>
      </c>
      <c r="D5" s="9" cm="1">
        <f t="array" aca="1" ref="D5" ca="1">INDIRECT($A5&amp;"_"&amp;$A$2&amp;"[[#Totals],["&amp;D$4&amp;"]]")</f>
        <v>-44.5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4810</v>
      </c>
      <c r="D6" s="9" cm="1">
        <f t="array" aca="1" ref="D6" ca="1">INDIRECT($A6&amp;"_"&amp;$A$2&amp;"[[#Totals],["&amp;D$4&amp;"]]")</f>
        <v>-1015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845.5</v>
      </c>
      <c r="D9" s="9">
        <f ca="1">D5+D6+D7</f>
        <v>845.5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250</v>
      </c>
      <c r="D13" s="17">
        <f ca="1">C13-B13</f>
        <v>-2250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45667</v>
      </c>
      <c r="M13" s="8">
        <v>1500</v>
      </c>
      <c r="N13" s="30"/>
      <c r="P13" s="38" t="s">
        <v>18</v>
      </c>
      <c r="Q13" s="15">
        <f ca="1">DATE(2025,$A$2,5)</f>
        <v>45662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Savings_1[[#This Row],[Planned]]-Savings_1[[#This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105.5</v>
      </c>
      <c r="D14" s="17">
        <f t="shared" ref="D14:D18" ca="1" si="1">C14-B14</f>
        <v>-194.5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80</v>
      </c>
      <c r="I14" s="22">
        <f t="shared" ref="I14:I21" ca="1" si="2">G14-H14</f>
        <v>120</v>
      </c>
      <c r="K14" s="29" t="s">
        <v>17</v>
      </c>
      <c r="L14" s="14">
        <f ca="1">DATE(2025,$A$2,15)</f>
        <v>45672</v>
      </c>
      <c r="M14" s="8">
        <v>80</v>
      </c>
      <c r="N14" s="30"/>
      <c r="P14" s="38" t="s">
        <v>14</v>
      </c>
      <c r="Q14" s="15">
        <f ca="1">DATE(2025,$A$2,24)</f>
        <v>45681</v>
      </c>
      <c r="R14" s="5">
        <v>33</v>
      </c>
      <c r="S14" s="39"/>
      <c r="U14" s="47" t="s">
        <v>39</v>
      </c>
      <c r="V14" s="9">
        <v>800</v>
      </c>
      <c r="W14" s="48"/>
      <c r="X14" s="9">
        <f>Savings_1[[#This Row],[Planned]]-Savings_1[[#This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85</v>
      </c>
      <c r="I15" s="22">
        <f t="shared" ca="1" si="2"/>
        <v>215</v>
      </c>
      <c r="K15" s="29" t="s">
        <v>20</v>
      </c>
      <c r="L15" s="14">
        <f t="shared" ref="L15:L16" ca="1" si="3">DATE(2025,$A$2,10)</f>
        <v>45667</v>
      </c>
      <c r="M15" s="8">
        <v>35</v>
      </c>
      <c r="N15" s="30"/>
      <c r="P15" s="38" t="s">
        <v>36</v>
      </c>
      <c r="Q15" s="15">
        <f ca="1">DATE(2025,$A$2,2)</f>
        <v>45659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Savings_1[[#This Row],[Planned]]-Savings_1[[#This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800</v>
      </c>
      <c r="D16" s="17">
        <f t="shared" ca="1" si="1"/>
        <v>700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1715</v>
      </c>
      <c r="I16" s="22">
        <f t="shared" ca="1" si="2"/>
        <v>-965</v>
      </c>
      <c r="K16" s="29" t="s">
        <v>19</v>
      </c>
      <c r="L16" s="14">
        <f t="shared" ca="1" si="3"/>
        <v>45667</v>
      </c>
      <c r="M16" s="8">
        <v>25</v>
      </c>
      <c r="N16" s="30"/>
      <c r="P16" s="38" t="s">
        <v>21</v>
      </c>
      <c r="Q16" s="15">
        <f ca="1">DATE(2025,$A$2,21)</f>
        <v>45678</v>
      </c>
      <c r="R16" s="5">
        <v>100</v>
      </c>
      <c r="S16" s="39"/>
      <c r="U16" s="47"/>
      <c r="V16" s="9"/>
      <c r="W16" s="48"/>
      <c r="X16" s="9">
        <f>Savings_1[[#This Row],[Planned]]-Savings_1[[#This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100</v>
      </c>
      <c r="I17" s="22">
        <f t="shared" ca="1" si="2"/>
        <v>30</v>
      </c>
      <c r="K17" s="29" t="s">
        <v>22</v>
      </c>
      <c r="L17" s="14">
        <f ca="1">DATE(2025,$A$2,28)</f>
        <v>45685</v>
      </c>
      <c r="M17" s="8">
        <v>35</v>
      </c>
      <c r="N17" s="30"/>
      <c r="P17" s="38" t="s">
        <v>37</v>
      </c>
      <c r="Q17" s="15">
        <f ca="1">DATE(2025,$A$2,12)</f>
        <v>45669</v>
      </c>
      <c r="R17" s="5">
        <v>42.69</v>
      </c>
      <c r="S17" s="39"/>
      <c r="U17" s="47"/>
      <c r="V17" s="9"/>
      <c r="W17" s="48"/>
      <c r="X17" s="9">
        <f>Savings_1[[#This Row],[Planned]]-Savings_1[[#This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150</v>
      </c>
      <c r="I18" s="22">
        <f t="shared" ca="1" si="2"/>
        <v>-20</v>
      </c>
      <c r="K18" s="29" t="s">
        <v>24</v>
      </c>
      <c r="L18" s="14">
        <f ca="1">DATE(2025,$A$2,20)</f>
        <v>45677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Savings_1[[#This Row],[Planned]]-Savings_1[[#This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500</v>
      </c>
      <c r="I19" s="22">
        <f t="shared" ca="1" si="2"/>
        <v>-300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Savings_1[[#This Row],[Planned]]-Savings_1[[#This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100</v>
      </c>
      <c r="I20" s="22">
        <f t="shared" ca="1" si="2"/>
        <v>100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Savings_1[[#This Row],[Planned]]-Savings_1[[#This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Savings_1[[#This Row],[Planned]]-Savings_1[[#This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Savings_1[[#This Row],[Planned]]-Savings_1[[#This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Savings_1[[#This Row],[Planned]]-Savings_1[[#This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Savings_1[[#This Row],[Planned]]-Savings_1[[#This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Savings_1[[#This Row],[Planned]]-Savings_1[[#This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Savings_1[[#This Row],[Planned]]-Savings_1[[#This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SUM(Income_1[Actual])</f>
        <v>5655.5</v>
      </c>
      <c r="D27" s="63">
        <f ca="1">SUBTOTAL(109,Income_1[Left])</f>
        <v>-44.5</v>
      </c>
      <c r="F27" s="58" t="s">
        <v>45</v>
      </c>
      <c r="G27" s="59">
        <f>SUM(G13:G26)</f>
        <v>3795</v>
      </c>
      <c r="H27" s="59">
        <f ca="1">SUM(H13:H26)</f>
        <v>4810</v>
      </c>
      <c r="I27" s="60">
        <f ca="1">SUBTOTAL(109,Expenses_1[Left])</f>
        <v>-1015</v>
      </c>
      <c r="K27" s="64" t="s">
        <v>45</v>
      </c>
      <c r="L27" s="65"/>
      <c r="M27" s="66">
        <f>SUM(M13:M26)</f>
        <v>1735</v>
      </c>
      <c r="N27" s="67">
        <f>SUBTOTAL(103,Bills_1[Actual])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SUBTOTAL(103,Subscriptions_1[Actual])</f>
        <v>0</v>
      </c>
      <c r="U27" s="72" t="s">
        <v>45</v>
      </c>
      <c r="V27" s="73">
        <f>SUM(V13:V26)</f>
        <v>1905</v>
      </c>
      <c r="W27" s="74">
        <f>SUBTOTAL(109,Savings_1[Actual])</f>
        <v>0</v>
      </c>
      <c r="X27" s="10">
        <f>SUM(Savings_1[Left])</f>
        <v>1905</v>
      </c>
    </row>
  </sheetData>
  <mergeCells count="7">
    <mergeCell ref="U11:X11"/>
    <mergeCell ref="P11:S11"/>
    <mergeCell ref="F11:I11"/>
    <mergeCell ref="A1:D1"/>
    <mergeCell ref="A2:D2"/>
    <mergeCell ref="A11:D11"/>
    <mergeCell ref="K11:N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6D682-7861-4DED-9F66-89E970E548D1}">
  <sheetPr codeName="Sheet2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2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6565</v>
      </c>
      <c r="D5" s="9" cm="1">
        <f t="array" aca="1" ref="D5" ca="1">INDIRECT($A5&amp;"_"&amp;$A$2&amp;"[[#Totals],["&amp;D$4&amp;"]]")</f>
        <v>865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4100.5</v>
      </c>
      <c r="D6" s="9" cm="1">
        <f t="array" aca="1" ref="D6" ca="1">INDIRECT($A6&amp;"_"&amp;$A$2&amp;"[[#Totals],["&amp;D$4&amp;"]]")</f>
        <v>-305.5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2464.5</v>
      </c>
      <c r="D9" s="9">
        <f ca="1">D5+D6+D7</f>
        <v>2464.5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45698</v>
      </c>
      <c r="M13" s="8">
        <v>1500</v>
      </c>
      <c r="N13" s="30"/>
      <c r="P13" s="38" t="s">
        <v>18</v>
      </c>
      <c r="Q13" s="15">
        <f ca="1">DATE(2025,$A$2,5)</f>
        <v>45693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Savings_2[[#This Row],[Planned]]-Savings_2[[#This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115</v>
      </c>
      <c r="D14" s="17">
        <f t="shared" ref="D14:D18" ca="1" si="1">C14-B14</f>
        <v>-185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45703</v>
      </c>
      <c r="M14" s="8">
        <v>80</v>
      </c>
      <c r="N14" s="30"/>
      <c r="P14" s="38" t="s">
        <v>14</v>
      </c>
      <c r="Q14" s="15">
        <f ca="1">DATE(2025,$A$2,24)</f>
        <v>45712</v>
      </c>
      <c r="R14" s="5">
        <v>33</v>
      </c>
      <c r="S14" s="39"/>
      <c r="U14" s="47" t="s">
        <v>39</v>
      </c>
      <c r="V14" s="9">
        <v>800</v>
      </c>
      <c r="W14" s="48"/>
      <c r="X14" s="9">
        <f>Savings_2[[#This Row],[Planned]]-Savings_2[[#This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350</v>
      </c>
      <c r="I15" s="22">
        <f t="shared" ca="1" si="2"/>
        <v>-50</v>
      </c>
      <c r="K15" s="29" t="s">
        <v>20</v>
      </c>
      <c r="L15" s="14">
        <f t="shared" ref="L15:L16" ca="1" si="3">DATE(2025,$A$2,10)</f>
        <v>45698</v>
      </c>
      <c r="M15" s="8">
        <v>35</v>
      </c>
      <c r="N15" s="30"/>
      <c r="P15" s="38" t="s">
        <v>36</v>
      </c>
      <c r="Q15" s="15">
        <f ca="1">DATE(2025,$A$2,2)</f>
        <v>45690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Savings_2[[#This Row],[Planned]]-Savings_2[[#This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1950</v>
      </c>
      <c r="D16" s="17">
        <f t="shared" ca="1" si="1"/>
        <v>1850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405.5</v>
      </c>
      <c r="I16" s="22">
        <f t="shared" ca="1" si="2"/>
        <v>344.5</v>
      </c>
      <c r="K16" s="29" t="s">
        <v>19</v>
      </c>
      <c r="L16" s="14">
        <f t="shared" ca="1" si="3"/>
        <v>45698</v>
      </c>
      <c r="M16" s="8">
        <v>25</v>
      </c>
      <c r="N16" s="30"/>
      <c r="P16" s="38" t="s">
        <v>21</v>
      </c>
      <c r="Q16" s="15">
        <f ca="1">DATE(2025,$A$2,21)</f>
        <v>45709</v>
      </c>
      <c r="R16" s="5">
        <v>100</v>
      </c>
      <c r="S16" s="39"/>
      <c r="U16" s="47"/>
      <c r="V16" s="9"/>
      <c r="W16" s="48"/>
      <c r="X16" s="9">
        <f>Savings_2[[#This Row],[Planned]]-Savings_2[[#This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250</v>
      </c>
      <c r="I17" s="22">
        <f t="shared" ca="1" si="2"/>
        <v>-120</v>
      </c>
      <c r="K17" s="29" t="s">
        <v>22</v>
      </c>
      <c r="L17" s="14">
        <f ca="1">DATE(2025,$A$2,28)</f>
        <v>45716</v>
      </c>
      <c r="M17" s="8">
        <v>35</v>
      </c>
      <c r="N17" s="30"/>
      <c r="P17" s="38" t="s">
        <v>37</v>
      </c>
      <c r="Q17" s="15">
        <f ca="1">DATE(2025,$A$2,12)</f>
        <v>45700</v>
      </c>
      <c r="R17" s="5">
        <v>42.69</v>
      </c>
      <c r="S17" s="39"/>
      <c r="U17" s="47"/>
      <c r="V17" s="9"/>
      <c r="W17" s="48"/>
      <c r="X17" s="9">
        <f>Savings_2[[#This Row],[Planned]]-Savings_2[[#This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150</v>
      </c>
      <c r="I18" s="22">
        <f t="shared" ca="1" si="2"/>
        <v>-20</v>
      </c>
      <c r="K18" s="29" t="s">
        <v>24</v>
      </c>
      <c r="L18" s="14">
        <f ca="1">DATE(2025,$A$2,20)</f>
        <v>45708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Savings_2[[#This Row],[Planned]]-Savings_2[[#This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765</v>
      </c>
      <c r="I19" s="22">
        <f t="shared" ca="1" si="2"/>
        <v>-565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Savings_2[[#This Row],[Planned]]-Savings_2[[#This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100</v>
      </c>
      <c r="I20" s="22">
        <f t="shared" ca="1" si="2"/>
        <v>100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Savings_2[[#This Row],[Planned]]-Savings_2[[#This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Savings_2[[#This Row],[Planned]]-Savings_2[[#This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Savings_2[[#This Row],[Planned]]-Savings_2[[#This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Savings_2[[#This Row],[Planned]]-Savings_2[[#This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Savings_2[[#This Row],[Planned]]-Savings_2[[#This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Savings_2[[#This Row],[Planned]]-Savings_2[[#This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Savings_2[[#This Row],[Planned]]-Savings_2[[#This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SUM(Income_2[Actual])</f>
        <v>6565</v>
      </c>
      <c r="D27" s="63">
        <f ca="1">SUBTOTAL(109,Income_2[Left])</f>
        <v>865</v>
      </c>
      <c r="F27" s="58" t="s">
        <v>45</v>
      </c>
      <c r="G27" s="59">
        <f>SUM(G13:G26)</f>
        <v>3795</v>
      </c>
      <c r="H27" s="59">
        <f ca="1">SUM(H13:H26)</f>
        <v>4100.5</v>
      </c>
      <c r="I27" s="60">
        <f ca="1">SUBTOTAL(109,Expenses_2[Left])</f>
        <v>-305.5</v>
      </c>
      <c r="K27" s="64" t="s">
        <v>45</v>
      </c>
      <c r="L27" s="65"/>
      <c r="M27" s="66">
        <f>SUM(M13:M26)</f>
        <v>1735</v>
      </c>
      <c r="N27" s="67">
        <f>SUBTOTAL(103,Bills_2[Actual])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SUBTOTAL(103,Subscriptions_2[Actual])</f>
        <v>0</v>
      </c>
      <c r="U27" s="72" t="s">
        <v>45</v>
      </c>
      <c r="V27" s="73">
        <f>SUM(V13:V26)</f>
        <v>1905</v>
      </c>
      <c r="W27" s="74">
        <f>SUBTOTAL(109,Savings_2[Actual])</f>
        <v>0</v>
      </c>
      <c r="X27" s="10">
        <f>SUM(Savings_2[Left])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9CD28-915D-4830-B737-41BBD7BA3C8E}">
  <sheetPr codeName="Sheet3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3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4655</v>
      </c>
      <c r="D5" s="9" cm="1">
        <f t="array" aca="1" ref="D5" ca="1">INDIRECT($A5&amp;"_"&amp;$A$2&amp;"[[#Totals],["&amp;D$4&amp;"]]")</f>
        <v>-1045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3899.3900000000003</v>
      </c>
      <c r="D6" s="9" cm="1">
        <f t="array" aca="1" ref="D6" ca="1">INDIRECT($A6&amp;"_"&amp;$A$2&amp;"[[#Totals],["&amp;D$4&amp;"]]")</f>
        <v>-104.38999999999999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755.60999999999967</v>
      </c>
      <c r="D9" s="9">
        <f ca="1">D5+D6+D7</f>
        <v>755.61000000000013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45726</v>
      </c>
      <c r="M13" s="8">
        <v>1500</v>
      </c>
      <c r="N13" s="30"/>
      <c r="P13" s="38" t="s">
        <v>18</v>
      </c>
      <c r="Q13" s="15">
        <f ca="1">DATE(2025,$A$2,5)</f>
        <v>45721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Savings_3[[#This Row],[Planned]]-Savings_3[[#This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150</v>
      </c>
      <c r="D14" s="17">
        <f t="shared" ref="D14:D18" ca="1" si="1">C14-B14</f>
        <v>-150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469.9</v>
      </c>
      <c r="I14" s="22">
        <f t="shared" ref="I14:I21" ca="1" si="2">G14-H14</f>
        <v>-269.89999999999998</v>
      </c>
      <c r="K14" s="29" t="s">
        <v>17</v>
      </c>
      <c r="L14" s="14">
        <f ca="1">DATE(2025,$A$2,15)</f>
        <v>45731</v>
      </c>
      <c r="M14" s="8">
        <v>80</v>
      </c>
      <c r="N14" s="30"/>
      <c r="P14" s="38" t="s">
        <v>14</v>
      </c>
      <c r="Q14" s="15">
        <f ca="1">DATE(2025,$A$2,24)</f>
        <v>45740</v>
      </c>
      <c r="R14" s="5">
        <v>33</v>
      </c>
      <c r="S14" s="39"/>
      <c r="U14" s="47" t="s">
        <v>39</v>
      </c>
      <c r="V14" s="9">
        <v>800</v>
      </c>
      <c r="W14" s="48"/>
      <c r="X14" s="9">
        <f>Savings_3[[#This Row],[Planned]]-Savings_3[[#This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5</v>
      </c>
      <c r="D15" s="17">
        <f t="shared" ca="1" si="1"/>
        <v>-495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200</v>
      </c>
      <c r="I15" s="22">
        <f t="shared" ca="1" si="2"/>
        <v>100</v>
      </c>
      <c r="K15" s="29" t="s">
        <v>20</v>
      </c>
      <c r="L15" s="14">
        <f t="shared" ref="L15:L16" ca="1" si="3">DATE(2025,$A$2,10)</f>
        <v>45726</v>
      </c>
      <c r="M15" s="8">
        <v>35</v>
      </c>
      <c r="N15" s="30"/>
      <c r="P15" s="38" t="s">
        <v>36</v>
      </c>
      <c r="Q15" s="15">
        <f ca="1">DATE(2025,$A$2,2)</f>
        <v>45718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Savings_3[[#This Row],[Planned]]-Savings_3[[#This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734.99</v>
      </c>
      <c r="I16" s="22">
        <f t="shared" ca="1" si="2"/>
        <v>15.009999999999991</v>
      </c>
      <c r="K16" s="29" t="s">
        <v>19</v>
      </c>
      <c r="L16" s="14">
        <f t="shared" ca="1" si="3"/>
        <v>45726</v>
      </c>
      <c r="M16" s="8">
        <v>25</v>
      </c>
      <c r="N16" s="30"/>
      <c r="P16" s="38" t="s">
        <v>21</v>
      </c>
      <c r="Q16" s="15">
        <f ca="1">DATE(2025,$A$2,21)</f>
        <v>45737</v>
      </c>
      <c r="R16" s="5">
        <v>100</v>
      </c>
      <c r="S16" s="39"/>
      <c r="U16" s="47"/>
      <c r="V16" s="9"/>
      <c r="W16" s="48"/>
      <c r="X16" s="9">
        <f>Savings_3[[#This Row],[Planned]]-Savings_3[[#This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9.5</v>
      </c>
      <c r="I17" s="22">
        <f t="shared" ca="1" si="2"/>
        <v>120.5</v>
      </c>
      <c r="K17" s="29" t="s">
        <v>22</v>
      </c>
      <c r="L17" s="14">
        <f ca="1">DATE(2025,$A$2,28)</f>
        <v>45744</v>
      </c>
      <c r="M17" s="8">
        <v>35</v>
      </c>
      <c r="N17" s="30"/>
      <c r="P17" s="38" t="s">
        <v>37</v>
      </c>
      <c r="Q17" s="15">
        <f ca="1">DATE(2025,$A$2,12)</f>
        <v>45728</v>
      </c>
      <c r="R17" s="5">
        <v>42.69</v>
      </c>
      <c r="S17" s="39"/>
      <c r="U17" s="47"/>
      <c r="V17" s="9"/>
      <c r="W17" s="48"/>
      <c r="X17" s="9">
        <f>Savings_3[[#This Row],[Planned]]-Savings_3[[#This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23</v>
      </c>
      <c r="I18" s="22">
        <f t="shared" ca="1" si="2"/>
        <v>107</v>
      </c>
      <c r="K18" s="29" t="s">
        <v>24</v>
      </c>
      <c r="L18" s="14">
        <f ca="1">DATE(2025,$A$2,20)</f>
        <v>45736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Savings_3[[#This Row],[Planned]]-Savings_3[[#This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300</v>
      </c>
      <c r="I19" s="22">
        <f t="shared" ca="1" si="2"/>
        <v>-100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Savings_3[[#This Row],[Planned]]-Savings_3[[#This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79.5</v>
      </c>
      <c r="I20" s="22">
        <f t="shared" ca="1" si="2"/>
        <v>120.5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Savings_3[[#This Row],[Planned]]-Savings_3[[#This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82.5</v>
      </c>
      <c r="I21" s="22">
        <f t="shared" ca="1" si="2"/>
        <v>67.5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Savings_3[[#This Row],[Planned]]-Savings_3[[#This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Savings_3[[#This Row],[Planned]]-Savings_3[[#This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Savings_3[[#This Row],[Planned]]-Savings_3[[#This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Savings_3[[#This Row],[Planned]]-Savings_3[[#This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Savings_3[[#This Row],[Planned]]-Savings_3[[#This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Savings_3[[#This Row],[Planned]]-Savings_3[[#This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SUM(Income_3[Actual])</f>
        <v>4655</v>
      </c>
      <c r="D27" s="63">
        <f ca="1">SUBTOTAL(109,Income_3[Left])</f>
        <v>-1045</v>
      </c>
      <c r="F27" s="58" t="s">
        <v>45</v>
      </c>
      <c r="G27" s="59">
        <f>SUM(G13:G26)</f>
        <v>3795</v>
      </c>
      <c r="H27" s="59">
        <f ca="1">SUM(H13:H26)</f>
        <v>3899.3900000000003</v>
      </c>
      <c r="I27" s="60">
        <f ca="1">SUBTOTAL(109,Expenses_3[Left])</f>
        <v>-104.38999999999999</v>
      </c>
      <c r="K27" s="64" t="s">
        <v>45</v>
      </c>
      <c r="L27" s="65"/>
      <c r="M27" s="66">
        <f>SUM(M13:M26)</f>
        <v>1735</v>
      </c>
      <c r="N27" s="67">
        <f>SUBTOTAL(103,Bills_3[Actual])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SUBTOTAL(103,Subscriptions_3[Actual])</f>
        <v>0</v>
      </c>
      <c r="U27" s="72" t="s">
        <v>45</v>
      </c>
      <c r="V27" s="73">
        <f>SUM(V13:V26)</f>
        <v>1905</v>
      </c>
      <c r="W27" s="74">
        <f>SUBTOTAL(109,Savings_3[Actual])</f>
        <v>0</v>
      </c>
      <c r="X27" s="10">
        <f>SUM(Savings_3[Left])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4B106-FCD3-4AA5-BC00-DCACCB305C5A}">
  <sheetPr codeName="Sheet4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4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4700</v>
      </c>
      <c r="D5" s="9" cm="1">
        <f t="array" aca="1" ref="D5" ca="1">INDIRECT($A5&amp;"_"&amp;$A$2&amp;"[[#Totals],["&amp;D$4&amp;"]]")</f>
        <v>-1000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3973.16</v>
      </c>
      <c r="D6" s="9" cm="1">
        <f t="array" aca="1" ref="D6" ca="1">INDIRECT($A6&amp;"_"&amp;$A$2&amp;"[[#Totals],["&amp;D$4&amp;"]]")</f>
        <v>-178.16000000000008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726.84000000000015</v>
      </c>
      <c r="D9" s="9">
        <f ca="1">D5+D6+D7</f>
        <v>726.83999999999992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45757</v>
      </c>
      <c r="M13" s="8">
        <v>1500</v>
      </c>
      <c r="N13" s="30"/>
      <c r="P13" s="38" t="s">
        <v>18</v>
      </c>
      <c r="Q13" s="15">
        <f ca="1">DATE(2025,$A$2,5)</f>
        <v>45752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Savings_4[[#This Row],[Planned]]-Savings_4[[#This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150</v>
      </c>
      <c r="D14" s="17">
        <f t="shared" ref="D14:D18" ca="1" si="1">C14-B14</f>
        <v>-150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149</v>
      </c>
      <c r="I14" s="22">
        <f t="shared" ref="I14:I21" ca="1" si="2">G14-H14</f>
        <v>51</v>
      </c>
      <c r="K14" s="29" t="s">
        <v>17</v>
      </c>
      <c r="L14" s="14">
        <f ca="1">DATE(2025,$A$2,15)</f>
        <v>45762</v>
      </c>
      <c r="M14" s="8">
        <v>80</v>
      </c>
      <c r="N14" s="30"/>
      <c r="P14" s="38" t="s">
        <v>14</v>
      </c>
      <c r="Q14" s="15">
        <f ca="1">DATE(2025,$A$2,24)</f>
        <v>45771</v>
      </c>
      <c r="R14" s="5">
        <v>33</v>
      </c>
      <c r="S14" s="39"/>
      <c r="U14" s="47" t="s">
        <v>39</v>
      </c>
      <c r="V14" s="9">
        <v>800</v>
      </c>
      <c r="W14" s="48"/>
      <c r="X14" s="9">
        <f>Savings_4[[#This Row],[Planned]]-Savings_4[[#This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50</v>
      </c>
      <c r="D15" s="17">
        <f t="shared" ca="1" si="1"/>
        <v>-450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1057.9000000000001</v>
      </c>
      <c r="I15" s="22">
        <f t="shared" ca="1" si="2"/>
        <v>-757.90000000000009</v>
      </c>
      <c r="K15" s="29" t="s">
        <v>20</v>
      </c>
      <c r="L15" s="14">
        <f t="shared" ref="L15:L16" ca="1" si="3">DATE(2025,$A$2,10)</f>
        <v>45757</v>
      </c>
      <c r="M15" s="8">
        <v>35</v>
      </c>
      <c r="N15" s="30"/>
      <c r="P15" s="38" t="s">
        <v>36</v>
      </c>
      <c r="Q15" s="15">
        <f ca="1">DATE(2025,$A$2,2)</f>
        <v>45749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Savings_4[[#This Row],[Planned]]-Savings_4[[#This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372.26</v>
      </c>
      <c r="I16" s="22">
        <f t="shared" ca="1" si="2"/>
        <v>377.74</v>
      </c>
      <c r="K16" s="29" t="s">
        <v>19</v>
      </c>
      <c r="L16" s="14">
        <f t="shared" ca="1" si="3"/>
        <v>45757</v>
      </c>
      <c r="M16" s="8">
        <v>25</v>
      </c>
      <c r="N16" s="30"/>
      <c r="P16" s="38" t="s">
        <v>21</v>
      </c>
      <c r="Q16" s="15">
        <f ca="1">DATE(2025,$A$2,21)</f>
        <v>45768</v>
      </c>
      <c r="R16" s="5">
        <v>100</v>
      </c>
      <c r="S16" s="39"/>
      <c r="U16" s="47"/>
      <c r="V16" s="9"/>
      <c r="W16" s="48"/>
      <c r="X16" s="9">
        <f>Savings_4[[#This Row],[Planned]]-Savings_4[[#This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23.5</v>
      </c>
      <c r="I17" s="22">
        <f t="shared" ca="1" si="2"/>
        <v>106.5</v>
      </c>
      <c r="K17" s="29" t="s">
        <v>22</v>
      </c>
      <c r="L17" s="14">
        <f ca="1">DATE(2025,$A$2,28)</f>
        <v>45775</v>
      </c>
      <c r="M17" s="8">
        <v>35</v>
      </c>
      <c r="N17" s="30"/>
      <c r="P17" s="38" t="s">
        <v>37</v>
      </c>
      <c r="Q17" s="15">
        <f ca="1">DATE(2025,$A$2,12)</f>
        <v>45759</v>
      </c>
      <c r="R17" s="5">
        <v>42.69</v>
      </c>
      <c r="S17" s="39"/>
      <c r="U17" s="47"/>
      <c r="V17" s="9"/>
      <c r="W17" s="48"/>
      <c r="X17" s="9">
        <f>Savings_4[[#This Row],[Planned]]-Savings_4[[#This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49</v>
      </c>
      <c r="I18" s="22">
        <f t="shared" ca="1" si="2"/>
        <v>81</v>
      </c>
      <c r="K18" s="29" t="s">
        <v>24</v>
      </c>
      <c r="L18" s="14">
        <f ca="1">DATE(2025,$A$2,20)</f>
        <v>45767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Savings_4[[#This Row],[Planned]]-Savings_4[[#This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100</v>
      </c>
      <c r="I19" s="22">
        <f t="shared" ca="1" si="2"/>
        <v>100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Savings_4[[#This Row],[Planned]]-Savings_4[[#This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139</v>
      </c>
      <c r="I20" s="22">
        <f t="shared" ca="1" si="2"/>
        <v>61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Savings_4[[#This Row],[Planned]]-Savings_4[[#This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82.5</v>
      </c>
      <c r="I21" s="22">
        <f t="shared" ca="1" si="2"/>
        <v>67.5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Savings_4[[#This Row],[Planned]]-Savings_4[[#This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Savings_4[[#This Row],[Planned]]-Savings_4[[#This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Savings_4[[#This Row],[Planned]]-Savings_4[[#This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Savings_4[[#This Row],[Planned]]-Savings_4[[#This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Savings_4[[#This Row],[Planned]]-Savings_4[[#This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Savings_4[[#This Row],[Planned]]-Savings_4[[#This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SUM(Income_4[Actual])</f>
        <v>4700</v>
      </c>
      <c r="D27" s="63">
        <f ca="1">SUBTOTAL(109,Income_4[Left])</f>
        <v>-1000</v>
      </c>
      <c r="F27" s="58" t="s">
        <v>45</v>
      </c>
      <c r="G27" s="59">
        <f>SUM(G13:G26)</f>
        <v>3795</v>
      </c>
      <c r="H27" s="59">
        <f ca="1">SUM(H13:H26)</f>
        <v>3973.16</v>
      </c>
      <c r="I27" s="60">
        <f ca="1">SUBTOTAL(109,Expenses_4[Left])</f>
        <v>-178.16000000000008</v>
      </c>
      <c r="K27" s="64" t="s">
        <v>45</v>
      </c>
      <c r="L27" s="65"/>
      <c r="M27" s="66">
        <f>SUM(M13:M26)</f>
        <v>1735</v>
      </c>
      <c r="N27" s="67">
        <f>SUBTOTAL(103,Bills_4[Actual])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SUBTOTAL(103,Subscriptions_4[Actual])</f>
        <v>0</v>
      </c>
      <c r="U27" s="72" t="s">
        <v>45</v>
      </c>
      <c r="V27" s="73">
        <f>SUM(V13:V26)</f>
        <v>1905</v>
      </c>
      <c r="W27" s="74">
        <f>SUBTOTAL(109,Savings_4[Actual])</f>
        <v>0</v>
      </c>
      <c r="X27" s="10">
        <f>SUM(Savings_4[Left])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AFD6-F49F-47AD-8AAE-D9C5388AB6FE}">
  <sheetPr codeName="Sheet5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5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4500</v>
      </c>
      <c r="D5" s="9" cm="1">
        <f t="array" aca="1" ref="D5" ca="1">INDIRECT($A5&amp;"_"&amp;$A$2&amp;"[[#Totals],["&amp;D$4&amp;"]]")</f>
        <v>-1200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3210</v>
      </c>
      <c r="D6" s="9" cm="1">
        <f t="array" aca="1" ref="D6" ca="1">INDIRECT($A6&amp;"_"&amp;$A$2&amp;"[[#Totals],["&amp;D$4&amp;"]]")</f>
        <v>585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1290</v>
      </c>
      <c r="D9" s="9">
        <f ca="1">D5+D6+D7</f>
        <v>1290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45787</v>
      </c>
      <c r="M13" s="8">
        <v>1500</v>
      </c>
      <c r="N13" s="30"/>
      <c r="P13" s="38" t="s">
        <v>18</v>
      </c>
      <c r="Q13" s="15">
        <f ca="1">DATE(2025,$A$2,5)</f>
        <v>45782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Savings_5[[#This Row],[Planned]]-Savings_5[[#This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45792</v>
      </c>
      <c r="M14" s="8">
        <v>80</v>
      </c>
      <c r="N14" s="30"/>
      <c r="P14" s="38" t="s">
        <v>14</v>
      </c>
      <c r="Q14" s="15">
        <f ca="1">DATE(2025,$A$2,24)</f>
        <v>45801</v>
      </c>
      <c r="R14" s="5">
        <v>33</v>
      </c>
      <c r="S14" s="39"/>
      <c r="U14" s="47" t="s">
        <v>39</v>
      </c>
      <c r="V14" s="9">
        <v>800</v>
      </c>
      <c r="W14" s="48"/>
      <c r="X14" s="9">
        <f>Savings_5[[#This Row],[Planned]]-Savings_5[[#This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80</v>
      </c>
      <c r="I15" s="22">
        <f t="shared" ca="1" si="2"/>
        <v>220</v>
      </c>
      <c r="K15" s="29" t="s">
        <v>20</v>
      </c>
      <c r="L15" s="14">
        <f t="shared" ref="L15:L16" ca="1" si="3">DATE(2025,$A$2,10)</f>
        <v>45787</v>
      </c>
      <c r="M15" s="8">
        <v>35</v>
      </c>
      <c r="N15" s="30"/>
      <c r="P15" s="38" t="s">
        <v>36</v>
      </c>
      <c r="Q15" s="15">
        <f ca="1">DATE(2025,$A$2,2)</f>
        <v>45779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Savings_5[[#This Row],[Planned]]-Savings_5[[#This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1000</v>
      </c>
      <c r="I16" s="22">
        <f t="shared" ca="1" si="2"/>
        <v>-250</v>
      </c>
      <c r="K16" s="29" t="s">
        <v>19</v>
      </c>
      <c r="L16" s="14">
        <f t="shared" ca="1" si="3"/>
        <v>45787</v>
      </c>
      <c r="M16" s="8">
        <v>25</v>
      </c>
      <c r="N16" s="30"/>
      <c r="P16" s="38" t="s">
        <v>21</v>
      </c>
      <c r="Q16" s="15">
        <f ca="1">DATE(2025,$A$2,21)</f>
        <v>45798</v>
      </c>
      <c r="R16" s="5">
        <v>100</v>
      </c>
      <c r="S16" s="39"/>
      <c r="U16" s="47"/>
      <c r="V16" s="9"/>
      <c r="W16" s="48"/>
      <c r="X16" s="9">
        <f>Savings_5[[#This Row],[Planned]]-Savings_5[[#This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0</v>
      </c>
      <c r="I17" s="22">
        <f t="shared" ca="1" si="2"/>
        <v>130</v>
      </c>
      <c r="K17" s="29" t="s">
        <v>22</v>
      </c>
      <c r="L17" s="14">
        <f ca="1">DATE(2025,$A$2,28)</f>
        <v>45805</v>
      </c>
      <c r="M17" s="8">
        <v>35</v>
      </c>
      <c r="N17" s="30"/>
      <c r="P17" s="38" t="s">
        <v>37</v>
      </c>
      <c r="Q17" s="15">
        <f ca="1">DATE(2025,$A$2,12)</f>
        <v>45789</v>
      </c>
      <c r="R17" s="5">
        <v>42.69</v>
      </c>
      <c r="S17" s="39"/>
      <c r="U17" s="47"/>
      <c r="V17" s="9"/>
      <c r="W17" s="48"/>
      <c r="X17" s="9">
        <f>Savings_5[[#This Row],[Planned]]-Savings_5[[#This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50</v>
      </c>
      <c r="I18" s="22">
        <f t="shared" ca="1" si="2"/>
        <v>80</v>
      </c>
      <c r="K18" s="29" t="s">
        <v>24</v>
      </c>
      <c r="L18" s="14">
        <f ca="1">DATE(2025,$A$2,20)</f>
        <v>45797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Savings_5[[#This Row],[Planned]]-Savings_5[[#This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Savings_5[[#This Row],[Planned]]-Savings_5[[#This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Savings_5[[#This Row],[Planned]]-Savings_5[[#This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Savings_5[[#This Row],[Planned]]-Savings_5[[#This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Savings_5[[#This Row],[Planned]]-Savings_5[[#This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Savings_5[[#This Row],[Planned]]-Savings_5[[#This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Savings_5[[#This Row],[Planned]]-Savings_5[[#This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Savings_5[[#This Row],[Planned]]-Savings_5[[#This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Savings_5[[#This Row],[Planned]]-Savings_5[[#This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SUM(Income_5[Actual])</f>
        <v>4500</v>
      </c>
      <c r="D27" s="63">
        <f ca="1">SUBTOTAL(109,Income_5[Left])</f>
        <v>-1200</v>
      </c>
      <c r="F27" s="58" t="s">
        <v>45</v>
      </c>
      <c r="G27" s="59">
        <f>SUM(G13:G26)</f>
        <v>3795</v>
      </c>
      <c r="H27" s="59">
        <f ca="1">SUM(H13:H26)</f>
        <v>3210</v>
      </c>
      <c r="I27" s="60">
        <f ca="1">SUBTOTAL(109,Expenses_5[Left])</f>
        <v>585</v>
      </c>
      <c r="K27" s="64" t="s">
        <v>45</v>
      </c>
      <c r="L27" s="65"/>
      <c r="M27" s="66">
        <f>SUM(M13:M26)</f>
        <v>1735</v>
      </c>
      <c r="N27" s="67">
        <f>SUBTOTAL(103,Bills_5[Actual])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SUBTOTAL(103,Subscriptions_5[Actual])</f>
        <v>0</v>
      </c>
      <c r="U27" s="72" t="s">
        <v>45</v>
      </c>
      <c r="V27" s="73">
        <f>SUM(V13:V26)</f>
        <v>1905</v>
      </c>
      <c r="W27" s="74">
        <f>SUBTOTAL(109,Savings_5[Actual])</f>
        <v>0</v>
      </c>
      <c r="X27" s="10">
        <f>SUM(Savings_5[Left])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D6EB-2B4B-4E7F-9B98-B6D53853C5A7}">
  <sheetPr codeName="Sheet6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6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4900</v>
      </c>
      <c r="D5" s="9" cm="1">
        <f t="array" aca="1" ref="D5" ca="1">INDIRECT($A5&amp;"_"&amp;$A$2&amp;"[[#Totals],["&amp;D$4&amp;"]]")</f>
        <v>-800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3730</v>
      </c>
      <c r="D6" s="9" cm="1">
        <f t="array" aca="1" ref="D6" ca="1">INDIRECT($A6&amp;"_"&amp;$A$2&amp;"[[#Totals],["&amp;D$4&amp;"]]")</f>
        <v>65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1170</v>
      </c>
      <c r="D9" s="9">
        <f ca="1">D5+D6+D7</f>
        <v>1170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400</v>
      </c>
      <c r="D13" s="17">
        <f ca="1">C13-B13</f>
        <v>-2100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45818</v>
      </c>
      <c r="M13" s="8">
        <v>1500</v>
      </c>
      <c r="N13" s="30"/>
      <c r="P13" s="38" t="s">
        <v>18</v>
      </c>
      <c r="Q13" s="15">
        <f ca="1">DATE(2025,$A$2,5)</f>
        <v>45813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Savings_6[[#This Row],[Planned]]-Savings_6[[#This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300</v>
      </c>
      <c r="I14" s="22">
        <f t="shared" ref="I14:I21" ca="1" si="2">G14-H14</f>
        <v>-100</v>
      </c>
      <c r="K14" s="29" t="s">
        <v>17</v>
      </c>
      <c r="L14" s="14">
        <f ca="1">DATE(2025,$A$2,15)</f>
        <v>45823</v>
      </c>
      <c r="M14" s="8">
        <v>80</v>
      </c>
      <c r="N14" s="30"/>
      <c r="P14" s="38" t="s">
        <v>14</v>
      </c>
      <c r="Q14" s="15">
        <f ca="1">DATE(2025,$A$2,24)</f>
        <v>45832</v>
      </c>
      <c r="R14" s="5">
        <v>33</v>
      </c>
      <c r="S14" s="39"/>
      <c r="U14" s="47" t="s">
        <v>39</v>
      </c>
      <c r="V14" s="9">
        <v>800</v>
      </c>
      <c r="W14" s="48"/>
      <c r="X14" s="9">
        <f>Savings_6[[#This Row],[Planned]]-Savings_6[[#This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200</v>
      </c>
      <c r="I15" s="22">
        <f t="shared" ca="1" si="2"/>
        <v>100</v>
      </c>
      <c r="K15" s="29" t="s">
        <v>20</v>
      </c>
      <c r="L15" s="14">
        <f t="shared" ref="L15:L16" ca="1" si="3">DATE(2025,$A$2,10)</f>
        <v>45818</v>
      </c>
      <c r="M15" s="8">
        <v>35</v>
      </c>
      <c r="N15" s="30"/>
      <c r="P15" s="38" t="s">
        <v>36</v>
      </c>
      <c r="Q15" s="15">
        <f ca="1">DATE(2025,$A$2,2)</f>
        <v>45810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Savings_6[[#This Row],[Planned]]-Savings_6[[#This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1000</v>
      </c>
      <c r="I16" s="22">
        <f t="shared" ca="1" si="2"/>
        <v>-250</v>
      </c>
      <c r="K16" s="29" t="s">
        <v>19</v>
      </c>
      <c r="L16" s="14">
        <f t="shared" ca="1" si="3"/>
        <v>45818</v>
      </c>
      <c r="M16" s="8">
        <v>25</v>
      </c>
      <c r="N16" s="30"/>
      <c r="P16" s="38" t="s">
        <v>21</v>
      </c>
      <c r="Q16" s="15">
        <f ca="1">DATE(2025,$A$2,21)</f>
        <v>45829</v>
      </c>
      <c r="R16" s="5">
        <v>100</v>
      </c>
      <c r="S16" s="39"/>
      <c r="U16" s="47"/>
      <c r="V16" s="9"/>
      <c r="W16" s="48"/>
      <c r="X16" s="9">
        <f>Savings_6[[#This Row],[Planned]]-Savings_6[[#This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100</v>
      </c>
      <c r="I17" s="22">
        <f t="shared" ca="1" si="2"/>
        <v>30</v>
      </c>
      <c r="K17" s="29" t="s">
        <v>22</v>
      </c>
      <c r="L17" s="14">
        <f ca="1">DATE(2025,$A$2,28)</f>
        <v>45836</v>
      </c>
      <c r="M17" s="8">
        <v>35</v>
      </c>
      <c r="N17" s="30"/>
      <c r="P17" s="38" t="s">
        <v>37</v>
      </c>
      <c r="Q17" s="15">
        <f ca="1">DATE(2025,$A$2,12)</f>
        <v>45820</v>
      </c>
      <c r="R17" s="5">
        <v>42.69</v>
      </c>
      <c r="S17" s="39"/>
      <c r="U17" s="47"/>
      <c r="V17" s="9"/>
      <c r="W17" s="48"/>
      <c r="X17" s="9">
        <f>Savings_6[[#This Row],[Planned]]-Savings_6[[#This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50</v>
      </c>
      <c r="I18" s="22">
        <f t="shared" ca="1" si="2"/>
        <v>80</v>
      </c>
      <c r="K18" s="29" t="s">
        <v>24</v>
      </c>
      <c r="L18" s="14">
        <f ca="1">DATE(2025,$A$2,20)</f>
        <v>45828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Savings_6[[#This Row],[Planned]]-Savings_6[[#This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Savings_6[[#This Row],[Planned]]-Savings_6[[#This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Savings_6[[#This Row],[Planned]]-Savings_6[[#This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80</v>
      </c>
      <c r="I21" s="22">
        <f t="shared" ca="1" si="2"/>
        <v>70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Savings_6[[#This Row],[Planned]]-Savings_6[[#This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Savings_6[[#This Row],[Planned]]-Savings_6[[#This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Savings_6[[#This Row],[Planned]]-Savings_6[[#This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Savings_6[[#This Row],[Planned]]-Savings_6[[#This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Savings_6[[#This Row],[Planned]]-Savings_6[[#This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Savings_6[[#This Row],[Planned]]-Savings_6[[#This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SUM(Income_6[Actual])</f>
        <v>4900</v>
      </c>
      <c r="D27" s="63">
        <f ca="1">SUBTOTAL(109,Income_6[Left])</f>
        <v>-800</v>
      </c>
      <c r="F27" s="58" t="s">
        <v>45</v>
      </c>
      <c r="G27" s="59">
        <f>SUM(G13:G26)</f>
        <v>3795</v>
      </c>
      <c r="H27" s="59">
        <f ca="1">SUM(H13:H26)</f>
        <v>3730</v>
      </c>
      <c r="I27" s="60">
        <f ca="1">SUBTOTAL(109,Expenses_6[Left])</f>
        <v>65</v>
      </c>
      <c r="K27" s="64" t="s">
        <v>45</v>
      </c>
      <c r="L27" s="65"/>
      <c r="M27" s="66">
        <f>SUM(M13:M26)</f>
        <v>1735</v>
      </c>
      <c r="N27" s="67">
        <f>SUBTOTAL(103,Bills_6[Actual])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SUBTOTAL(103,Subscriptions_6[Actual])</f>
        <v>0</v>
      </c>
      <c r="U27" s="72" t="s">
        <v>45</v>
      </c>
      <c r="V27" s="73">
        <f>SUM(V13:V26)</f>
        <v>1905</v>
      </c>
      <c r="W27" s="74">
        <f>SUBTOTAL(109,Savings_6[Actual])</f>
        <v>0</v>
      </c>
      <c r="X27" s="10">
        <f>SUM(Savings_6[Left])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20BBB-542E-46F2-816B-FC1106D15231}">
  <sheetPr codeName="Sheet7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7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5920</v>
      </c>
      <c r="D5" s="9" cm="1">
        <f t="array" aca="1" ref="D5" ca="1">INDIRECT($A5&amp;"_"&amp;$A$2&amp;"[[#Totals],["&amp;D$4&amp;"]]")</f>
        <v>220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3005</v>
      </c>
      <c r="D6" s="9" cm="1">
        <f t="array" aca="1" ref="D6" ca="1">INDIRECT($A6&amp;"_"&amp;$A$2&amp;"[[#Totals],["&amp;D$4&amp;"]]")</f>
        <v>790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2915</v>
      </c>
      <c r="D9" s="9">
        <f ca="1">D5+D6+D7</f>
        <v>2915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45848</v>
      </c>
      <c r="M13" s="8">
        <v>1500</v>
      </c>
      <c r="N13" s="30"/>
      <c r="P13" s="38" t="s">
        <v>18</v>
      </c>
      <c r="Q13" s="15">
        <f ca="1">DATE(2025,$A$2,5)</f>
        <v>45843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Savings_7[[#This Row],[Planned]]-Savings_7[[#This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120</v>
      </c>
      <c r="D14" s="17">
        <f t="shared" ref="D14:D18" ca="1" si="1">C14-B14</f>
        <v>-180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-250</v>
      </c>
      <c r="I14" s="22">
        <f t="shared" ref="I14:I21" ca="1" si="2">G14-H14</f>
        <v>450</v>
      </c>
      <c r="K14" s="29" t="s">
        <v>17</v>
      </c>
      <c r="L14" s="14">
        <f ca="1">DATE(2025,$A$2,15)</f>
        <v>45853</v>
      </c>
      <c r="M14" s="8">
        <v>80</v>
      </c>
      <c r="N14" s="30"/>
      <c r="P14" s="38" t="s">
        <v>14</v>
      </c>
      <c r="Q14" s="15">
        <f ca="1">DATE(2025,$A$2,24)</f>
        <v>45862</v>
      </c>
      <c r="R14" s="5">
        <v>33</v>
      </c>
      <c r="S14" s="39"/>
      <c r="U14" s="47" t="s">
        <v>39</v>
      </c>
      <c r="V14" s="9">
        <v>800</v>
      </c>
      <c r="W14" s="48"/>
      <c r="X14" s="9">
        <f>Savings_7[[#This Row],[Planned]]-Savings_7[[#This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800</v>
      </c>
      <c r="D15" s="17">
        <f t="shared" ca="1" si="1"/>
        <v>300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700</v>
      </c>
      <c r="I15" s="22">
        <f t="shared" ca="1" si="2"/>
        <v>-400</v>
      </c>
      <c r="K15" s="29" t="s">
        <v>20</v>
      </c>
      <c r="L15" s="14">
        <f t="shared" ref="L15:L16" ca="1" si="3">DATE(2025,$A$2,10)</f>
        <v>45848</v>
      </c>
      <c r="M15" s="8">
        <v>35</v>
      </c>
      <c r="N15" s="30"/>
      <c r="P15" s="38" t="s">
        <v>36</v>
      </c>
      <c r="Q15" s="15">
        <f ca="1">DATE(2025,$A$2,2)</f>
        <v>45840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Savings_7[[#This Row],[Planned]]-Savings_7[[#This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165</v>
      </c>
      <c r="I16" s="22">
        <f t="shared" ca="1" si="2"/>
        <v>585</v>
      </c>
      <c r="K16" s="29" t="s">
        <v>19</v>
      </c>
      <c r="L16" s="14">
        <f t="shared" ca="1" si="3"/>
        <v>45848</v>
      </c>
      <c r="M16" s="8">
        <v>25</v>
      </c>
      <c r="N16" s="30"/>
      <c r="P16" s="38" t="s">
        <v>21</v>
      </c>
      <c r="Q16" s="15">
        <f ca="1">DATE(2025,$A$2,21)</f>
        <v>45859</v>
      </c>
      <c r="R16" s="5">
        <v>100</v>
      </c>
      <c r="S16" s="39"/>
      <c r="U16" s="47"/>
      <c r="V16" s="9"/>
      <c r="W16" s="48"/>
      <c r="X16" s="9">
        <f>Savings_7[[#This Row],[Planned]]-Savings_7[[#This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300</v>
      </c>
      <c r="I17" s="22">
        <f t="shared" ca="1" si="2"/>
        <v>-170</v>
      </c>
      <c r="K17" s="29" t="s">
        <v>22</v>
      </c>
      <c r="L17" s="14">
        <f ca="1">DATE(2025,$A$2,28)</f>
        <v>45866</v>
      </c>
      <c r="M17" s="8">
        <v>35</v>
      </c>
      <c r="N17" s="30"/>
      <c r="P17" s="38" t="s">
        <v>37</v>
      </c>
      <c r="Q17" s="15">
        <f ca="1">DATE(2025,$A$2,12)</f>
        <v>45850</v>
      </c>
      <c r="R17" s="5">
        <v>42.69</v>
      </c>
      <c r="S17" s="39"/>
      <c r="U17" s="47"/>
      <c r="V17" s="9"/>
      <c r="W17" s="48"/>
      <c r="X17" s="9">
        <f>Savings_7[[#This Row],[Planned]]-Savings_7[[#This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500</v>
      </c>
      <c r="D18" s="17">
        <f t="shared" ca="1" si="1"/>
        <v>-300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0</v>
      </c>
      <c r="I18" s="22">
        <f t="shared" ca="1" si="2"/>
        <v>130</v>
      </c>
      <c r="K18" s="29" t="s">
        <v>24</v>
      </c>
      <c r="L18" s="14">
        <f ca="1">DATE(2025,$A$2,20)</f>
        <v>45858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Savings_7[[#This Row],[Planned]]-Savings_7[[#This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Savings_7[[#This Row],[Planned]]-Savings_7[[#This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Savings_7[[#This Row],[Planned]]-Savings_7[[#This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90</v>
      </c>
      <c r="I21" s="22">
        <f t="shared" ca="1" si="2"/>
        <v>60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Savings_7[[#This Row],[Planned]]-Savings_7[[#This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Savings_7[[#This Row],[Planned]]-Savings_7[[#This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Savings_7[[#This Row],[Planned]]-Savings_7[[#This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Savings_7[[#This Row],[Planned]]-Savings_7[[#This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Savings_7[[#This Row],[Planned]]-Savings_7[[#This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Savings_7[[#This Row],[Planned]]-Savings_7[[#This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SUM(Income_7[Actual])</f>
        <v>5920</v>
      </c>
      <c r="D27" s="63">
        <f ca="1">SUBTOTAL(109,Income_7[Left])</f>
        <v>220</v>
      </c>
      <c r="F27" s="58" t="s">
        <v>45</v>
      </c>
      <c r="G27" s="59">
        <f>SUM(G13:G26)</f>
        <v>3795</v>
      </c>
      <c r="H27" s="59">
        <f ca="1">SUM(H13:H26)</f>
        <v>3005</v>
      </c>
      <c r="I27" s="60">
        <f ca="1">SUBTOTAL(109,Expenses_7[Left])</f>
        <v>790</v>
      </c>
      <c r="K27" s="64" t="s">
        <v>45</v>
      </c>
      <c r="L27" s="65"/>
      <c r="M27" s="66">
        <f>SUM(M13:M26)</f>
        <v>1735</v>
      </c>
      <c r="N27" s="67">
        <f>SUBTOTAL(103,Bills_7[Actual])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SUBTOTAL(103,Subscriptions_7[Actual])</f>
        <v>0</v>
      </c>
      <c r="U27" s="72" t="s">
        <v>45</v>
      </c>
      <c r="V27" s="73">
        <f>SUM(V13:V26)</f>
        <v>1905</v>
      </c>
      <c r="W27" s="74">
        <f>SUBTOTAL(109,Savings_7[Actual])</f>
        <v>0</v>
      </c>
      <c r="X27" s="10">
        <f>SUM(Savings_7[Left])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75DF4-7C74-4F7C-889C-6C94069CA656}">
  <sheetPr codeName="Sheet8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8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5400</v>
      </c>
      <c r="D5" s="9" cm="1">
        <f t="array" aca="1" ref="D5" ca="1">INDIRECT($A5&amp;"_"&amp;$A$2&amp;"[[#Totals],["&amp;D$4&amp;"]]")</f>
        <v>-300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3989.5</v>
      </c>
      <c r="D6" s="9" cm="1">
        <f t="array" aca="1" ref="D6" ca="1">INDIRECT($A6&amp;"_"&amp;$A$2&amp;"[[#Totals],["&amp;D$4&amp;"]]")</f>
        <v>-194.5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1410.5</v>
      </c>
      <c r="D9" s="9">
        <f ca="1">D5+D6+D7</f>
        <v>1410.5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45879</v>
      </c>
      <c r="M13" s="8">
        <v>1500</v>
      </c>
      <c r="N13" s="30"/>
      <c r="P13" s="38" t="s">
        <v>18</v>
      </c>
      <c r="Q13" s="15">
        <f ca="1">DATE(2025,$A$2,5)</f>
        <v>45874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Savings_8[[#This Row],[Planned]]-Savings_8[[#This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300</v>
      </c>
      <c r="I14" s="22">
        <f t="shared" ref="I14:I21" ca="1" si="2">G14-H14</f>
        <v>-100</v>
      </c>
      <c r="K14" s="29" t="s">
        <v>17</v>
      </c>
      <c r="L14" s="14">
        <f ca="1">DATE(2025,$A$2,15)</f>
        <v>45884</v>
      </c>
      <c r="M14" s="8">
        <v>80</v>
      </c>
      <c r="N14" s="30"/>
      <c r="P14" s="38" t="s">
        <v>14</v>
      </c>
      <c r="Q14" s="15">
        <f ca="1">DATE(2025,$A$2,24)</f>
        <v>45893</v>
      </c>
      <c r="R14" s="5">
        <v>33</v>
      </c>
      <c r="S14" s="39"/>
      <c r="U14" s="47" t="s">
        <v>39</v>
      </c>
      <c r="V14" s="9">
        <v>800</v>
      </c>
      <c r="W14" s="48"/>
      <c r="X14" s="9">
        <f>Savings_8[[#This Row],[Planned]]-Savings_8[[#This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400</v>
      </c>
      <c r="D15" s="17">
        <f t="shared" ca="1" si="1"/>
        <v>-100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250</v>
      </c>
      <c r="I15" s="22">
        <f t="shared" ca="1" si="2"/>
        <v>50</v>
      </c>
      <c r="K15" s="29" t="s">
        <v>20</v>
      </c>
      <c r="L15" s="14">
        <f t="shared" ref="L15:L16" ca="1" si="3">DATE(2025,$A$2,10)</f>
        <v>45879</v>
      </c>
      <c r="M15" s="8">
        <v>35</v>
      </c>
      <c r="N15" s="30"/>
      <c r="P15" s="38" t="s">
        <v>36</v>
      </c>
      <c r="Q15" s="15">
        <f ca="1">DATE(2025,$A$2,2)</f>
        <v>45871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Savings_8[[#This Row],[Planned]]-Savings_8[[#This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749.5</v>
      </c>
      <c r="I16" s="22">
        <f t="shared" ca="1" si="2"/>
        <v>0.5</v>
      </c>
      <c r="K16" s="29" t="s">
        <v>19</v>
      </c>
      <c r="L16" s="14">
        <f t="shared" ca="1" si="3"/>
        <v>45879</v>
      </c>
      <c r="M16" s="8">
        <v>25</v>
      </c>
      <c r="N16" s="30"/>
      <c r="P16" s="38" t="s">
        <v>21</v>
      </c>
      <c r="Q16" s="15">
        <f ca="1">DATE(2025,$A$2,21)</f>
        <v>45890</v>
      </c>
      <c r="R16" s="5">
        <v>100</v>
      </c>
      <c r="S16" s="39"/>
      <c r="U16" s="47"/>
      <c r="V16" s="9"/>
      <c r="W16" s="48"/>
      <c r="X16" s="9">
        <f>Savings_8[[#This Row],[Planned]]-Savings_8[[#This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400</v>
      </c>
      <c r="I17" s="22">
        <f t="shared" ca="1" si="2"/>
        <v>-270</v>
      </c>
      <c r="K17" s="29" t="s">
        <v>22</v>
      </c>
      <c r="L17" s="14">
        <f ca="1">DATE(2025,$A$2,28)</f>
        <v>45897</v>
      </c>
      <c r="M17" s="8">
        <v>35</v>
      </c>
      <c r="N17" s="30"/>
      <c r="P17" s="38" t="s">
        <v>37</v>
      </c>
      <c r="Q17" s="15">
        <f ca="1">DATE(2025,$A$2,12)</f>
        <v>45881</v>
      </c>
      <c r="R17" s="5">
        <v>42.69</v>
      </c>
      <c r="S17" s="39"/>
      <c r="U17" s="47"/>
      <c r="V17" s="9"/>
      <c r="W17" s="48"/>
      <c r="X17" s="9">
        <f>Savings_8[[#This Row],[Planned]]-Savings_8[[#This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500</v>
      </c>
      <c r="D18" s="17">
        <f t="shared" ca="1" si="1"/>
        <v>-300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0</v>
      </c>
      <c r="I18" s="22">
        <f t="shared" ca="1" si="2"/>
        <v>130</v>
      </c>
      <c r="K18" s="29" t="s">
        <v>24</v>
      </c>
      <c r="L18" s="14">
        <f ca="1">DATE(2025,$A$2,20)</f>
        <v>45889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Savings_8[[#This Row],[Planned]]-Savings_8[[#This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Savings_8[[#This Row],[Planned]]-Savings_8[[#This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Savings_8[[#This Row],[Planned]]-Savings_8[[#This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290</v>
      </c>
      <c r="I21" s="22">
        <f t="shared" ca="1" si="2"/>
        <v>-140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Savings_8[[#This Row],[Planned]]-Savings_8[[#This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Savings_8[[#This Row],[Planned]]-Savings_8[[#This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Savings_8[[#This Row],[Planned]]-Savings_8[[#This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Savings_8[[#This Row],[Planned]]-Savings_8[[#This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Savings_8[[#This Row],[Planned]]-Savings_8[[#This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Savings_8[[#This Row],[Planned]]-Savings_8[[#This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SUM(Income_8[Actual])</f>
        <v>5400</v>
      </c>
      <c r="D27" s="63">
        <f ca="1">SUBTOTAL(109,Income_8[Left])</f>
        <v>-300</v>
      </c>
      <c r="F27" s="58" t="s">
        <v>45</v>
      </c>
      <c r="G27" s="59">
        <f>SUM(G13:G26)</f>
        <v>3795</v>
      </c>
      <c r="H27" s="59">
        <f ca="1">SUM(H13:H26)</f>
        <v>3989.5</v>
      </c>
      <c r="I27" s="60">
        <f ca="1">SUBTOTAL(109,Expenses_8[Left])</f>
        <v>-194.5</v>
      </c>
      <c r="K27" s="64" t="s">
        <v>45</v>
      </c>
      <c r="L27" s="65"/>
      <c r="M27" s="66">
        <f>SUM(M13:M26)</f>
        <v>1735</v>
      </c>
      <c r="N27" s="67">
        <f>SUBTOTAL(103,Bills_8[Actual])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SUBTOTAL(103,Subscriptions_8[Actual])</f>
        <v>0</v>
      </c>
      <c r="U27" s="72" t="s">
        <v>45</v>
      </c>
      <c r="V27" s="73">
        <f>SUM(V13:V26)</f>
        <v>1905</v>
      </c>
      <c r="W27" s="74">
        <f>SUBTOTAL(109,Savings_8[Actual])</f>
        <v>0</v>
      </c>
      <c r="X27" s="10">
        <f>SUM(Savings_8[Left])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3AA88-CFDA-4354-8DBD-853F6DD444CF}">
  <sheetPr codeName="Sheet9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9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4500</v>
      </c>
      <c r="D5" s="9" cm="1">
        <f t="array" aca="1" ref="D5" ca="1">INDIRECT($A5&amp;"_"&amp;$A$2&amp;"[[#Totals],["&amp;D$4&amp;"]]")</f>
        <v>-1200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2748.5</v>
      </c>
      <c r="D6" s="9" cm="1">
        <f t="array" aca="1" ref="D6" ca="1">INDIRECT($A6&amp;"_"&amp;$A$2&amp;"[[#Totals],["&amp;D$4&amp;"]]")</f>
        <v>1046.5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1751.5</v>
      </c>
      <c r="D9" s="9">
        <f ca="1">D5+D6+D7</f>
        <v>1751.5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45910</v>
      </c>
      <c r="M13" s="8">
        <v>1500</v>
      </c>
      <c r="N13" s="30"/>
      <c r="P13" s="38" t="s">
        <v>18</v>
      </c>
      <c r="Q13" s="15">
        <f ca="1">DATE(2025,$A$2,5)</f>
        <v>45905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Savings_9[[#This Row],[Planned]]-Savings_9[[#This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45915</v>
      </c>
      <c r="M14" s="8">
        <v>80</v>
      </c>
      <c r="N14" s="30"/>
      <c r="P14" s="38" t="s">
        <v>14</v>
      </c>
      <c r="Q14" s="15">
        <f ca="1">DATE(2025,$A$2,24)</f>
        <v>45924</v>
      </c>
      <c r="R14" s="5">
        <v>33</v>
      </c>
      <c r="S14" s="39"/>
      <c r="U14" s="47" t="s">
        <v>39</v>
      </c>
      <c r="V14" s="9">
        <v>800</v>
      </c>
      <c r="W14" s="48"/>
      <c r="X14" s="9">
        <f>Savings_9[[#This Row],[Planned]]-Savings_9[[#This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20</v>
      </c>
      <c r="I15" s="22">
        <f t="shared" ca="1" si="2"/>
        <v>280</v>
      </c>
      <c r="K15" s="29" t="s">
        <v>20</v>
      </c>
      <c r="L15" s="14">
        <f t="shared" ref="L15:L16" ca="1" si="3">DATE(2025,$A$2,10)</f>
        <v>45910</v>
      </c>
      <c r="M15" s="8">
        <v>35</v>
      </c>
      <c r="N15" s="30"/>
      <c r="P15" s="38" t="s">
        <v>36</v>
      </c>
      <c r="Q15" s="15">
        <f ca="1">DATE(2025,$A$2,2)</f>
        <v>45902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Savings_9[[#This Row],[Planned]]-Savings_9[[#This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538.5</v>
      </c>
      <c r="I16" s="22">
        <f t="shared" ca="1" si="2"/>
        <v>211.5</v>
      </c>
      <c r="K16" s="29" t="s">
        <v>19</v>
      </c>
      <c r="L16" s="14">
        <f t="shared" ca="1" si="3"/>
        <v>45910</v>
      </c>
      <c r="M16" s="8">
        <v>25</v>
      </c>
      <c r="N16" s="30"/>
      <c r="P16" s="38" t="s">
        <v>21</v>
      </c>
      <c r="Q16" s="15">
        <f ca="1">DATE(2025,$A$2,21)</f>
        <v>45921</v>
      </c>
      <c r="R16" s="5">
        <v>100</v>
      </c>
      <c r="S16" s="39"/>
      <c r="U16" s="47"/>
      <c r="V16" s="9"/>
      <c r="W16" s="48"/>
      <c r="X16" s="9">
        <f>Savings_9[[#This Row],[Planned]]-Savings_9[[#This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0</v>
      </c>
      <c r="I17" s="22">
        <f t="shared" ca="1" si="2"/>
        <v>130</v>
      </c>
      <c r="K17" s="29" t="s">
        <v>22</v>
      </c>
      <c r="L17" s="14">
        <f ca="1">DATE(2025,$A$2,28)</f>
        <v>45928</v>
      </c>
      <c r="M17" s="8">
        <v>35</v>
      </c>
      <c r="N17" s="30"/>
      <c r="P17" s="38" t="s">
        <v>37</v>
      </c>
      <c r="Q17" s="15">
        <f ca="1">DATE(2025,$A$2,12)</f>
        <v>45912</v>
      </c>
      <c r="R17" s="5">
        <v>42.69</v>
      </c>
      <c r="S17" s="39"/>
      <c r="U17" s="47"/>
      <c r="V17" s="9"/>
      <c r="W17" s="48"/>
      <c r="X17" s="9">
        <f>Savings_9[[#This Row],[Planned]]-Savings_9[[#This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40</v>
      </c>
      <c r="I18" s="22">
        <f t="shared" ca="1" si="2"/>
        <v>90</v>
      </c>
      <c r="K18" s="29" t="s">
        <v>24</v>
      </c>
      <c r="L18" s="14">
        <f ca="1">DATE(2025,$A$2,20)</f>
        <v>45920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Savings_9[[#This Row],[Planned]]-Savings_9[[#This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Savings_9[[#This Row],[Planned]]-Savings_9[[#This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Savings_9[[#This Row],[Planned]]-Savings_9[[#This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150</v>
      </c>
      <c r="I21" s="22">
        <f t="shared" ca="1" si="2"/>
        <v>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Savings_9[[#This Row],[Planned]]-Savings_9[[#This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Savings_9[[#This Row],[Planned]]-Savings_9[[#This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Savings_9[[#This Row],[Planned]]-Savings_9[[#This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Savings_9[[#This Row],[Planned]]-Savings_9[[#This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Savings_9[[#This Row],[Planned]]-Savings_9[[#This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Savings_9[[#This Row],[Planned]]-Savings_9[[#This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SUM(Income_9[Actual])</f>
        <v>4500</v>
      </c>
      <c r="D27" s="63">
        <f ca="1">SUBTOTAL(109,Income_9[Left])</f>
        <v>-1200</v>
      </c>
      <c r="F27" s="58" t="s">
        <v>45</v>
      </c>
      <c r="G27" s="59">
        <f>SUM(G13:G26)</f>
        <v>3795</v>
      </c>
      <c r="H27" s="59">
        <f ca="1">SUM(H13:H26)</f>
        <v>2748.5</v>
      </c>
      <c r="I27" s="60">
        <f ca="1">SUBTOTAL(109,Expenses_9[Left])</f>
        <v>1046.5</v>
      </c>
      <c r="K27" s="64" t="s">
        <v>45</v>
      </c>
      <c r="L27" s="65"/>
      <c r="M27" s="66">
        <f>SUM(M13:M26)</f>
        <v>1735</v>
      </c>
      <c r="N27" s="67">
        <f>SUBTOTAL(103,Bills_9[Actual])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SUBTOTAL(103,Subscriptions_9[Actual])</f>
        <v>0</v>
      </c>
      <c r="U27" s="72" t="s">
        <v>45</v>
      </c>
      <c r="V27" s="73">
        <f>SUM(V13:V26)</f>
        <v>1905</v>
      </c>
      <c r="W27" s="74">
        <f>SUBTOTAL(109,Savings_9[Actual])</f>
        <v>0</v>
      </c>
      <c r="X27" s="10">
        <f>SUM(Savings_9[Left])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4E15-4B2C-4041-9E4B-806DCE4625D6}">
  <sheetPr codeName="Sheet10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10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4500</v>
      </c>
      <c r="D5" s="9" cm="1">
        <f t="array" aca="1" ref="D5" ca="1">INDIRECT($A5&amp;"_"&amp;$A$2&amp;"[[#Totals],["&amp;D$4&amp;"]]")</f>
        <v>-1200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2830</v>
      </c>
      <c r="D6" s="9" cm="1">
        <f t="array" aca="1" ref="D6" ca="1">INDIRECT($A6&amp;"_"&amp;$A$2&amp;"[[#Totals],["&amp;D$4&amp;"]]")</f>
        <v>965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1670</v>
      </c>
      <c r="D9" s="9">
        <f ca="1">D5+D6+D7</f>
        <v>1670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45940</v>
      </c>
      <c r="M13" s="8">
        <v>1500</v>
      </c>
      <c r="N13" s="30"/>
      <c r="P13" s="38" t="s">
        <v>18</v>
      </c>
      <c r="Q13" s="15">
        <f ca="1">DATE(2025,$A$2,5)</f>
        <v>45935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Savings_10[[#This Row],[Planned]]-Savings_10[[#This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0</v>
      </c>
      <c r="I14" s="22">
        <f t="shared" ref="I14:I21" ca="1" si="2">G14-H14</f>
        <v>200</v>
      </c>
      <c r="K14" s="29" t="s">
        <v>17</v>
      </c>
      <c r="L14" s="14">
        <f ca="1">DATE(2025,$A$2,15)</f>
        <v>45945</v>
      </c>
      <c r="M14" s="8">
        <v>80</v>
      </c>
      <c r="N14" s="30"/>
      <c r="P14" s="38" t="s">
        <v>14</v>
      </c>
      <c r="Q14" s="15">
        <f ca="1">DATE(2025,$A$2,24)</f>
        <v>45954</v>
      </c>
      <c r="R14" s="5">
        <v>33</v>
      </c>
      <c r="S14" s="39"/>
      <c r="U14" s="47" t="s">
        <v>39</v>
      </c>
      <c r="V14" s="9">
        <v>800</v>
      </c>
      <c r="W14" s="48"/>
      <c r="X14" s="9">
        <f>Savings_10[[#This Row],[Planned]]-Savings_10[[#This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0</v>
      </c>
      <c r="D15" s="17">
        <f t="shared" ca="1" si="1"/>
        <v>-500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40</v>
      </c>
      <c r="I15" s="22">
        <f t="shared" ca="1" si="2"/>
        <v>260</v>
      </c>
      <c r="K15" s="29" t="s">
        <v>20</v>
      </c>
      <c r="L15" s="14">
        <f t="shared" ref="L15:L16" ca="1" si="3">DATE(2025,$A$2,10)</f>
        <v>45940</v>
      </c>
      <c r="M15" s="8">
        <v>35</v>
      </c>
      <c r="N15" s="30"/>
      <c r="P15" s="38" t="s">
        <v>36</v>
      </c>
      <c r="Q15" s="15">
        <f ca="1">DATE(2025,$A$2,2)</f>
        <v>45932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Savings_10[[#This Row],[Planned]]-Savings_10[[#This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600</v>
      </c>
      <c r="I16" s="22">
        <f t="shared" ca="1" si="2"/>
        <v>150</v>
      </c>
      <c r="K16" s="29" t="s">
        <v>19</v>
      </c>
      <c r="L16" s="14">
        <f t="shared" ca="1" si="3"/>
        <v>45940</v>
      </c>
      <c r="M16" s="8">
        <v>25</v>
      </c>
      <c r="N16" s="30"/>
      <c r="P16" s="38" t="s">
        <v>21</v>
      </c>
      <c r="Q16" s="15">
        <f ca="1">DATE(2025,$A$2,21)</f>
        <v>45951</v>
      </c>
      <c r="R16" s="5">
        <v>100</v>
      </c>
      <c r="S16" s="39"/>
      <c r="U16" s="47"/>
      <c r="V16" s="9"/>
      <c r="W16" s="48"/>
      <c r="X16" s="9">
        <f>Savings_10[[#This Row],[Planned]]-Savings_10[[#This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0</v>
      </c>
      <c r="I17" s="22">
        <f t="shared" ca="1" si="2"/>
        <v>130</v>
      </c>
      <c r="K17" s="29" t="s">
        <v>22</v>
      </c>
      <c r="L17" s="14">
        <f ca="1">DATE(2025,$A$2,28)</f>
        <v>45958</v>
      </c>
      <c r="M17" s="8">
        <v>35</v>
      </c>
      <c r="N17" s="30"/>
      <c r="P17" s="38" t="s">
        <v>37</v>
      </c>
      <c r="Q17" s="15">
        <f ca="1">DATE(2025,$A$2,12)</f>
        <v>45942</v>
      </c>
      <c r="R17" s="5">
        <v>42.69</v>
      </c>
      <c r="S17" s="39"/>
      <c r="U17" s="47"/>
      <c r="V17" s="9"/>
      <c r="W17" s="48"/>
      <c r="X17" s="9">
        <f>Savings_10[[#This Row],[Planned]]-Savings_10[[#This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40</v>
      </c>
      <c r="I18" s="22">
        <f t="shared" ca="1" si="2"/>
        <v>90</v>
      </c>
      <c r="K18" s="29" t="s">
        <v>24</v>
      </c>
      <c r="L18" s="14">
        <f ca="1">DATE(2025,$A$2,20)</f>
        <v>45950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Savings_10[[#This Row],[Planned]]-Savings_10[[#This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0</v>
      </c>
      <c r="I19" s="22">
        <f t="shared" ca="1" si="2"/>
        <v>200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Savings_10[[#This Row],[Planned]]-Savings_10[[#This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Savings_10[[#This Row],[Planned]]-Savings_10[[#This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150</v>
      </c>
      <c r="I21" s="22">
        <f t="shared" ca="1" si="2"/>
        <v>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Savings_10[[#This Row],[Planned]]-Savings_10[[#This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Savings_10[[#This Row],[Planned]]-Savings_10[[#This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Savings_10[[#This Row],[Planned]]-Savings_10[[#This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Savings_10[[#This Row],[Planned]]-Savings_10[[#This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Savings_10[[#This Row],[Planned]]-Savings_10[[#This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Savings_10[[#This Row],[Planned]]-Savings_10[[#This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SUM(Income_10[Actual])</f>
        <v>4500</v>
      </c>
      <c r="D27" s="63">
        <f ca="1">SUBTOTAL(109,Income_10[Left])</f>
        <v>-1200</v>
      </c>
      <c r="F27" s="58" t="s">
        <v>45</v>
      </c>
      <c r="G27" s="59">
        <f>SUM(G13:G26)</f>
        <v>3795</v>
      </c>
      <c r="H27" s="59">
        <f ca="1">SUM(H13:H26)</f>
        <v>2830</v>
      </c>
      <c r="I27" s="60">
        <f ca="1">SUBTOTAL(109,Expenses_10[Left])</f>
        <v>965</v>
      </c>
      <c r="K27" s="64" t="s">
        <v>45</v>
      </c>
      <c r="L27" s="65"/>
      <c r="M27" s="66">
        <f>SUM(M13:M26)</f>
        <v>1735</v>
      </c>
      <c r="N27" s="67">
        <f>SUBTOTAL(103,Bills_10[Actual])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SUBTOTAL(103,Subscriptions_10[Actual])</f>
        <v>0</v>
      </c>
      <c r="U27" s="72" t="s">
        <v>45</v>
      </c>
      <c r="V27" s="73">
        <f>SUM(V13:V26)</f>
        <v>1905</v>
      </c>
      <c r="W27" s="74">
        <f>SUBTOTAL(109,Savings_10[Actual])</f>
        <v>0</v>
      </c>
      <c r="X27" s="10">
        <f>SUM(Savings_10[Left])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96A3A-4939-4975-885C-0B827C640C66}">
  <sheetPr codeName="Sheet11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11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4900</v>
      </c>
      <c r="D5" s="9" cm="1">
        <f t="array" aca="1" ref="D5" ca="1">INDIRECT($A5&amp;"_"&amp;$A$2&amp;"[[#Totals],["&amp;D$4&amp;"]]")</f>
        <v>-800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3500</v>
      </c>
      <c r="D6" s="9" cm="1">
        <f t="array" aca="1" ref="D6" ca="1">INDIRECT($A6&amp;"_"&amp;$A$2&amp;"[[#Totals],["&amp;D$4&amp;"]]")</f>
        <v>295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1400</v>
      </c>
      <c r="D9" s="9">
        <f ca="1">D5+D6+D7</f>
        <v>1400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45971</v>
      </c>
      <c r="M13" s="8">
        <v>1500</v>
      </c>
      <c r="N13" s="30"/>
      <c r="P13" s="38" t="s">
        <v>18</v>
      </c>
      <c r="Q13" s="15">
        <f ca="1">DATE(2025,$A$2,5)</f>
        <v>45966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Savings_11[[#This Row],[Planned]]-Savings_11[[#This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158</v>
      </c>
      <c r="I14" s="22">
        <f t="shared" ref="I14:I21" ca="1" si="2">G14-H14</f>
        <v>42</v>
      </c>
      <c r="K14" s="29" t="s">
        <v>17</v>
      </c>
      <c r="L14" s="14">
        <f ca="1">DATE(2025,$A$2,15)</f>
        <v>45976</v>
      </c>
      <c r="M14" s="8">
        <v>80</v>
      </c>
      <c r="N14" s="30"/>
      <c r="P14" s="38" t="s">
        <v>14</v>
      </c>
      <c r="Q14" s="15">
        <f ca="1">DATE(2025,$A$2,24)</f>
        <v>45985</v>
      </c>
      <c r="R14" s="5">
        <v>33</v>
      </c>
      <c r="S14" s="39"/>
      <c r="U14" s="47" t="s">
        <v>39</v>
      </c>
      <c r="V14" s="9">
        <v>800</v>
      </c>
      <c r="W14" s="48"/>
      <c r="X14" s="9">
        <f>Savings_11[[#This Row],[Planned]]-Savings_11[[#This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400</v>
      </c>
      <c r="D15" s="17">
        <f t="shared" ca="1" si="1"/>
        <v>-100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214</v>
      </c>
      <c r="I15" s="22">
        <f t="shared" ca="1" si="2"/>
        <v>86</v>
      </c>
      <c r="K15" s="29" t="s">
        <v>20</v>
      </c>
      <c r="L15" s="14">
        <f t="shared" ref="L15:L16" ca="1" si="3">DATE(2025,$A$2,10)</f>
        <v>45971</v>
      </c>
      <c r="M15" s="8">
        <v>35</v>
      </c>
      <c r="N15" s="30"/>
      <c r="P15" s="38" t="s">
        <v>36</v>
      </c>
      <c r="Q15" s="15">
        <f ca="1">DATE(2025,$A$2,2)</f>
        <v>45963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Savings_11[[#This Row],[Planned]]-Savings_11[[#This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506</v>
      </c>
      <c r="I16" s="22">
        <f t="shared" ca="1" si="2"/>
        <v>244</v>
      </c>
      <c r="K16" s="29" t="s">
        <v>19</v>
      </c>
      <c r="L16" s="14">
        <f t="shared" ca="1" si="3"/>
        <v>45971</v>
      </c>
      <c r="M16" s="8">
        <v>25</v>
      </c>
      <c r="N16" s="30"/>
      <c r="P16" s="38" t="s">
        <v>21</v>
      </c>
      <c r="Q16" s="15">
        <f ca="1">DATE(2025,$A$2,21)</f>
        <v>45982</v>
      </c>
      <c r="R16" s="5">
        <v>100</v>
      </c>
      <c r="S16" s="39"/>
      <c r="U16" s="47"/>
      <c r="V16" s="9"/>
      <c r="W16" s="48"/>
      <c r="X16" s="9">
        <f>Savings_11[[#This Row],[Planned]]-Savings_11[[#This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133</v>
      </c>
      <c r="I17" s="22">
        <f t="shared" ca="1" si="2"/>
        <v>-3</v>
      </c>
      <c r="K17" s="29" t="s">
        <v>22</v>
      </c>
      <c r="L17" s="14">
        <f ca="1">DATE(2025,$A$2,28)</f>
        <v>45989</v>
      </c>
      <c r="M17" s="8">
        <v>35</v>
      </c>
      <c r="N17" s="30"/>
      <c r="P17" s="38" t="s">
        <v>37</v>
      </c>
      <c r="Q17" s="15">
        <f ca="1">DATE(2025,$A$2,12)</f>
        <v>45973</v>
      </c>
      <c r="R17" s="5">
        <v>42.69</v>
      </c>
      <c r="S17" s="39"/>
      <c r="U17" s="47"/>
      <c r="V17" s="9"/>
      <c r="W17" s="48"/>
      <c r="X17" s="9">
        <f>Savings_11[[#This Row],[Planned]]-Savings_11[[#This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47</v>
      </c>
      <c r="I18" s="22">
        <f t="shared" ca="1" si="2"/>
        <v>83</v>
      </c>
      <c r="K18" s="29" t="s">
        <v>24</v>
      </c>
      <c r="L18" s="14">
        <f ca="1">DATE(2025,$A$2,20)</f>
        <v>45981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Savings_11[[#This Row],[Planned]]-Savings_11[[#This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234</v>
      </c>
      <c r="I19" s="22">
        <f t="shared" ca="1" si="2"/>
        <v>-34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Savings_11[[#This Row],[Planned]]-Savings_11[[#This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0</v>
      </c>
      <c r="I20" s="22">
        <f t="shared" ca="1" si="2"/>
        <v>200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Savings_11[[#This Row],[Planned]]-Savings_11[[#This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208</v>
      </c>
      <c r="I21" s="22">
        <f t="shared" ca="1" si="2"/>
        <v>-58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Savings_11[[#This Row],[Planned]]-Savings_11[[#This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Savings_11[[#This Row],[Planned]]-Savings_11[[#This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Savings_11[[#This Row],[Planned]]-Savings_11[[#This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Savings_11[[#This Row],[Planned]]-Savings_11[[#This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Savings_11[[#This Row],[Planned]]-Savings_11[[#This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Savings_11[[#This Row],[Planned]]-Savings_11[[#This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SUM(Income_11[Actual])</f>
        <v>4900</v>
      </c>
      <c r="D27" s="63">
        <f ca="1">SUBTOTAL(109,Income_11[Left])</f>
        <v>-800</v>
      </c>
      <c r="F27" s="58" t="s">
        <v>45</v>
      </c>
      <c r="G27" s="59">
        <f>SUM(G13:G26)</f>
        <v>3795</v>
      </c>
      <c r="H27" s="59">
        <f ca="1">SUM(H13:H26)</f>
        <v>3500</v>
      </c>
      <c r="I27" s="60">
        <f ca="1">SUBTOTAL(109,Expenses_11[Left])</f>
        <v>295</v>
      </c>
      <c r="K27" s="64" t="s">
        <v>45</v>
      </c>
      <c r="L27" s="65"/>
      <c r="M27" s="66">
        <f>SUM(M13:M26)</f>
        <v>1735</v>
      </c>
      <c r="N27" s="67">
        <f>SUBTOTAL(103,Bills_11[Actual])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SUBTOTAL(103,Subscriptions_11[Actual])</f>
        <v>0</v>
      </c>
      <c r="U27" s="72" t="s">
        <v>45</v>
      </c>
      <c r="V27" s="73">
        <f>SUM(V13:V26)</f>
        <v>1905</v>
      </c>
      <c r="W27" s="74">
        <f>SUBTOTAL(109,Savings_11[Actual])</f>
        <v>0</v>
      </c>
      <c r="X27" s="10">
        <f>SUM(Savings_11[Left])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D65F-2FCE-49D0-B420-FFED4EE3BA94}">
  <sheetPr codeName="Sheet12"/>
  <dimension ref="A1:X27"/>
  <sheetViews>
    <sheetView zoomScaleNormal="100" workbookViewId="0">
      <selection activeCell="D3" sqref="D3"/>
    </sheetView>
  </sheetViews>
  <sheetFormatPr defaultColWidth="9.140625" defaultRowHeight="21" x14ac:dyDescent="0.4"/>
  <cols>
    <col min="1" max="1" width="17.140625" style="1" bestFit="1" customWidth="1"/>
    <col min="2" max="4" width="22.42578125" style="1" bestFit="1" customWidth="1"/>
    <col min="5" max="5" width="9.140625" style="1"/>
    <col min="6" max="6" width="21.28515625" style="1" bestFit="1" customWidth="1"/>
    <col min="7" max="9" width="21.140625" style="1" bestFit="1" customWidth="1"/>
    <col min="10" max="10" width="9.140625" style="1"/>
    <col min="11" max="11" width="14.5703125" style="1" customWidth="1"/>
    <col min="12" max="12" width="15.85546875" style="1" bestFit="1" customWidth="1"/>
    <col min="13" max="13" width="21.140625" style="1" bestFit="1" customWidth="1"/>
    <col min="14" max="14" width="11.140625" style="1" bestFit="1" customWidth="1"/>
    <col min="15" max="15" width="9.140625" style="1"/>
    <col min="16" max="16" width="12.85546875" style="1" bestFit="1" customWidth="1"/>
    <col min="17" max="17" width="15.85546875" style="1" bestFit="1" customWidth="1"/>
    <col min="18" max="18" width="18.28515625" style="1" bestFit="1" customWidth="1"/>
    <col min="19" max="19" width="11.140625" style="1" bestFit="1" customWidth="1"/>
    <col min="20" max="20" width="9.140625" style="1"/>
    <col min="21" max="21" width="22.7109375" style="1" bestFit="1" customWidth="1"/>
    <col min="22" max="22" width="21.140625" style="1" bestFit="1" customWidth="1"/>
    <col min="23" max="23" width="18.28515625" style="1" bestFit="1" customWidth="1"/>
    <col min="24" max="24" width="21.140625" style="1" bestFit="1" customWidth="1"/>
    <col min="25" max="16384" width="9.140625" style="1"/>
  </cols>
  <sheetData>
    <row r="1" spans="1:24" x14ac:dyDescent="0.4">
      <c r="A1" s="75" t="s">
        <v>25</v>
      </c>
      <c r="B1" s="76"/>
      <c r="C1" s="76"/>
      <c r="D1" s="76"/>
      <c r="E1" s="12"/>
    </row>
    <row r="2" spans="1:24" x14ac:dyDescent="0.4">
      <c r="A2" s="81" t="str" cm="1">
        <f t="array" aca="1" ref="A2" ca="1">RIGHT(CELL("filename",A1),LEN(CELL("filename",A1))-FIND("]",CELL("filename",A1)))</f>
        <v>12</v>
      </c>
      <c r="B2" s="82"/>
      <c r="C2" s="82"/>
      <c r="D2" s="82"/>
    </row>
    <row r="4" spans="1:24" x14ac:dyDescent="0.4">
      <c r="B4" s="11" t="s">
        <v>6</v>
      </c>
      <c r="C4" s="11" t="s">
        <v>7</v>
      </c>
      <c r="D4" s="11" t="s">
        <v>26</v>
      </c>
      <c r="E4" s="13"/>
    </row>
    <row r="5" spans="1:24" x14ac:dyDescent="0.4">
      <c r="A5" s="11" t="s">
        <v>46</v>
      </c>
      <c r="B5" s="9" cm="1">
        <f t="array" aca="1" ref="B5" ca="1">INDIRECT($A5&amp;"_"&amp;$A$2&amp;"[[#Totals],["&amp;B$4&amp;"]]")</f>
        <v>5700</v>
      </c>
      <c r="C5" s="9" cm="1">
        <f t="array" aca="1" ref="C5" ca="1">INDIRECT($A5&amp;"_"&amp;$A$2&amp;"[[#Totals],["&amp;C$4&amp;"]]")</f>
        <v>6500</v>
      </c>
      <c r="D5" s="9" cm="1">
        <f t="array" aca="1" ref="D5" ca="1">INDIRECT($A5&amp;"_"&amp;$A$2&amp;"[[#Totals],["&amp;D$4&amp;"]]")</f>
        <v>800</v>
      </c>
      <c r="E5" s="13"/>
    </row>
    <row r="6" spans="1:24" x14ac:dyDescent="0.4">
      <c r="A6" s="11" t="s">
        <v>1</v>
      </c>
      <c r="B6" s="9" cm="1">
        <f t="array" aca="1" ref="B6" ca="1">INDIRECT($A6&amp;"_"&amp;$A$2&amp;"[[#Totals],["&amp;B$4&amp;"]]")</f>
        <v>3795</v>
      </c>
      <c r="C6" s="9" cm="1">
        <f t="array" aca="1" ref="C6" ca="1">INDIRECT($A6&amp;"_"&amp;$A$2&amp;"[[#Totals],["&amp;C$4&amp;"]]")</f>
        <v>4080</v>
      </c>
      <c r="D6" s="9" cm="1">
        <f t="array" aca="1" ref="D6" ca="1">INDIRECT($A6&amp;"_"&amp;$A$2&amp;"[[#Totals],["&amp;D$4&amp;"]]")</f>
        <v>-285</v>
      </c>
      <c r="E6" s="13"/>
    </row>
    <row r="7" spans="1:24" x14ac:dyDescent="0.4">
      <c r="A7" s="11" t="s">
        <v>4</v>
      </c>
      <c r="B7" s="9" cm="1">
        <f t="array" aca="1" ref="B7" ca="1">INDIRECT($A7&amp;"_"&amp;$A$2&amp;"[[#Totals],["&amp;B$4&amp;"]]")</f>
        <v>1905</v>
      </c>
      <c r="C7" s="9" cm="1">
        <f t="array" aca="1" ref="C7" ca="1">INDIRECT($A7&amp;"_"&amp;$A$2&amp;"[[#Totals],["&amp;C$4&amp;"]]")</f>
        <v>0</v>
      </c>
      <c r="D7" s="9" cm="1">
        <f t="array" aca="1" ref="D7" ca="1">INDIRECT($A7&amp;"_"&amp;$A$2&amp;"[[#Totals],["&amp;D$4&amp;"]]")</f>
        <v>1905</v>
      </c>
      <c r="E7" s="13"/>
    </row>
    <row r="9" spans="1:24" x14ac:dyDescent="0.4">
      <c r="A9" s="11" t="s">
        <v>27</v>
      </c>
      <c r="B9" s="9">
        <f ca="1">B5-B6-B7</f>
        <v>0</v>
      </c>
      <c r="C9" s="9">
        <f t="shared" ref="C9" ca="1" si="0">C5-C6-C7</f>
        <v>2420</v>
      </c>
      <c r="D9" s="9">
        <f ca="1">D5+D6+D7</f>
        <v>2420</v>
      </c>
      <c r="E9" s="13"/>
    </row>
    <row r="11" spans="1:24" x14ac:dyDescent="0.4">
      <c r="A11" s="83" t="s">
        <v>0</v>
      </c>
      <c r="B11" s="84"/>
      <c r="C11" s="84"/>
      <c r="D11" s="84"/>
      <c r="F11" s="78" t="s">
        <v>1</v>
      </c>
      <c r="G11" s="79"/>
      <c r="H11" s="79"/>
      <c r="I11" s="80"/>
      <c r="K11" s="85" t="s">
        <v>2</v>
      </c>
      <c r="L11" s="85"/>
      <c r="M11" s="85"/>
      <c r="N11" s="85"/>
      <c r="P11" s="77" t="s">
        <v>3</v>
      </c>
      <c r="Q11" s="77"/>
      <c r="R11" s="77"/>
      <c r="S11" s="77"/>
      <c r="U11" s="75" t="s">
        <v>4</v>
      </c>
      <c r="V11" s="76"/>
      <c r="W11" s="76"/>
      <c r="X11" s="76"/>
    </row>
    <row r="12" spans="1:24" ht="22.5" x14ac:dyDescent="0.45">
      <c r="A12" s="55" t="s">
        <v>5</v>
      </c>
      <c r="B12" s="56" t="s">
        <v>6</v>
      </c>
      <c r="C12" s="56" t="s">
        <v>7</v>
      </c>
      <c r="D12" s="57" t="s">
        <v>26</v>
      </c>
      <c r="F12" s="23" t="s">
        <v>8</v>
      </c>
      <c r="G12" s="24" t="s">
        <v>6</v>
      </c>
      <c r="H12" s="24" t="s">
        <v>7</v>
      </c>
      <c r="I12" s="25" t="s">
        <v>26</v>
      </c>
      <c r="K12" s="31" t="s">
        <v>9</v>
      </c>
      <c r="L12" s="32" t="s">
        <v>44</v>
      </c>
      <c r="M12" s="32" t="s">
        <v>6</v>
      </c>
      <c r="N12" s="33" t="s">
        <v>7</v>
      </c>
      <c r="P12" s="40" t="s">
        <v>10</v>
      </c>
      <c r="Q12" s="41" t="s">
        <v>44</v>
      </c>
      <c r="R12" s="41" t="s">
        <v>6</v>
      </c>
      <c r="S12" s="42" t="s">
        <v>7</v>
      </c>
      <c r="U12" s="49" t="s">
        <v>11</v>
      </c>
      <c r="V12" s="50" t="s">
        <v>6</v>
      </c>
      <c r="W12" s="51" t="s">
        <v>7</v>
      </c>
      <c r="X12" s="50" t="s">
        <v>26</v>
      </c>
    </row>
    <row r="13" spans="1:24" x14ac:dyDescent="0.4">
      <c r="A13" s="16" t="s">
        <v>12</v>
      </c>
      <c r="B13" s="7">
        <v>2500</v>
      </c>
      <c r="C13" s="7" cm="1">
        <f t="array" aca="1" ref="C13" ca="1">_xlfn.XLOOKUP(A13,INDIRECT("'Finanse 8.12.xlsx'!incomes_"&amp;$A$2&amp;"[Category]"),INDIRECT("'Finanse 8.12.xlsx'!incomes_"&amp;$A$2&amp;"[Total]"),0,0,1)</f>
        <v>0</v>
      </c>
      <c r="D13" s="17">
        <f ca="1">C13-B13</f>
        <v>-2500</v>
      </c>
      <c r="F13" s="21" t="s">
        <v>41</v>
      </c>
      <c r="G13" s="3">
        <v>1735</v>
      </c>
      <c r="H13" s="3" cm="1">
        <f t="array" aca="1" ref="H13" ca="1">-_xlfn.XLOOKUP(F13,INDIRECT("'Finanse 8.12.xlsx'!expenses_"&amp;$A$2&amp;"[Category]"),INDIRECT("'Finanse 8.12.xlsx'!expenses_"&amp;$A$2&amp;"[Total]"),0,0,1)</f>
        <v>2000</v>
      </c>
      <c r="I13" s="22">
        <f ca="1">G13-H13</f>
        <v>-265</v>
      </c>
      <c r="K13" s="29" t="s">
        <v>13</v>
      </c>
      <c r="L13" s="14">
        <f ca="1">DATE(2025,$A$2,10)</f>
        <v>46001</v>
      </c>
      <c r="M13" s="8">
        <v>1500</v>
      </c>
      <c r="N13" s="30"/>
      <c r="P13" s="38" t="s">
        <v>18</v>
      </c>
      <c r="Q13" s="15">
        <f ca="1">DATE(2025,$A$2,5)</f>
        <v>45996</v>
      </c>
      <c r="R13" s="5">
        <v>12.99</v>
      </c>
      <c r="S13" s="39"/>
      <c r="U13" s="47" t="s">
        <v>38</v>
      </c>
      <c r="V13" s="9">
        <v>500</v>
      </c>
      <c r="W13" s="48"/>
      <c r="X13" s="9">
        <f>Savings_12[[#This Row],[Planned]]-Savings_12[[#This Row],[Actual]]</f>
        <v>500</v>
      </c>
    </row>
    <row r="14" spans="1:24" x14ac:dyDescent="0.4">
      <c r="A14" s="16" t="s">
        <v>28</v>
      </c>
      <c r="B14" s="7">
        <v>300</v>
      </c>
      <c r="C14" s="7" cm="1">
        <f t="array" aca="1" ref="C14" ca="1">_xlfn.XLOOKUP(A14,INDIRECT("'Finanse 8.12.xlsx'!incomes_"&amp;$A$2&amp;"[Category]"),INDIRECT("'Finanse 8.12.xlsx'!incomes_"&amp;$A$2&amp;"[Total]"),0,0,1)</f>
        <v>0</v>
      </c>
      <c r="D14" s="17">
        <f t="shared" ref="D14:D18" ca="1" si="1">C14-B14</f>
        <v>-300</v>
      </c>
      <c r="F14" s="21" t="s">
        <v>31</v>
      </c>
      <c r="G14" s="3">
        <v>200</v>
      </c>
      <c r="H14" s="3" cm="1">
        <f t="array" aca="1" ref="H14" ca="1">-_xlfn.XLOOKUP(F14,INDIRECT("'Finanse 8.12.xlsx'!expenses_"&amp;$A$2&amp;"[Category]"),INDIRECT("'Finanse 8.12.xlsx'!expenses_"&amp;$A$2&amp;"[Total]"),0,0,1)</f>
        <v>120</v>
      </c>
      <c r="I14" s="22">
        <f t="shared" ref="I14:I21" ca="1" si="2">G14-H14</f>
        <v>80</v>
      </c>
      <c r="K14" s="29" t="s">
        <v>17</v>
      </c>
      <c r="L14" s="14">
        <f ca="1">DATE(2025,$A$2,15)</f>
        <v>46006</v>
      </c>
      <c r="M14" s="8">
        <v>80</v>
      </c>
      <c r="N14" s="30"/>
      <c r="P14" s="38" t="s">
        <v>14</v>
      </c>
      <c r="Q14" s="15">
        <f ca="1">DATE(2025,$A$2,24)</f>
        <v>46015</v>
      </c>
      <c r="R14" s="5">
        <v>33</v>
      </c>
      <c r="S14" s="39"/>
      <c r="U14" s="47" t="s">
        <v>39</v>
      </c>
      <c r="V14" s="9">
        <v>800</v>
      </c>
      <c r="W14" s="48"/>
      <c r="X14" s="9">
        <f>Savings_12[[#This Row],[Planned]]-Savings_12[[#This Row],[Actual]]</f>
        <v>800</v>
      </c>
    </row>
    <row r="15" spans="1:24" x14ac:dyDescent="0.4">
      <c r="A15" s="16" t="s">
        <v>29</v>
      </c>
      <c r="B15" s="7">
        <v>500</v>
      </c>
      <c r="C15" s="7" cm="1">
        <f t="array" aca="1" ref="C15" ca="1">_xlfn.XLOOKUP(A15,INDIRECT("'Finanse 8.12.xlsx'!incomes_"&amp;$A$2&amp;"[Category]"),INDIRECT("'Finanse 8.12.xlsx'!incomes_"&amp;$A$2&amp;"[Total]"),0,0,1)</f>
        <v>2000</v>
      </c>
      <c r="D15" s="17">
        <f t="shared" ca="1" si="1"/>
        <v>1500</v>
      </c>
      <c r="F15" s="21" t="s">
        <v>23</v>
      </c>
      <c r="G15" s="3">
        <v>300</v>
      </c>
      <c r="H15" s="3" cm="1">
        <f t="array" aca="1" ref="H15" ca="1">-_xlfn.XLOOKUP(F15,INDIRECT("'Finanse 8.12.xlsx'!expenses_"&amp;$A$2&amp;"[Category]"),INDIRECT("'Finanse 8.12.xlsx'!expenses_"&amp;$A$2&amp;"[Total]"),0,0,1)</f>
        <v>450</v>
      </c>
      <c r="I15" s="22">
        <f t="shared" ca="1" si="2"/>
        <v>-150</v>
      </c>
      <c r="K15" s="29" t="s">
        <v>20</v>
      </c>
      <c r="L15" s="14">
        <f t="shared" ref="L15:L16" ca="1" si="3">DATE(2025,$A$2,10)</f>
        <v>46001</v>
      </c>
      <c r="M15" s="8">
        <v>35</v>
      </c>
      <c r="N15" s="30"/>
      <c r="P15" s="38" t="s">
        <v>36</v>
      </c>
      <c r="Q15" s="15">
        <f ca="1">DATE(2025,$A$2,2)</f>
        <v>45993</v>
      </c>
      <c r="R15" s="5">
        <v>22.99</v>
      </c>
      <c r="S15" s="39"/>
      <c r="U15" s="47" t="s">
        <v>43</v>
      </c>
      <c r="V15" s="48">
        <v>605</v>
      </c>
      <c r="W15" s="48"/>
      <c r="X15" s="9">
        <f>Savings_12[[#This Row],[Planned]]-Savings_12[[#This Row],[Actual]]</f>
        <v>605</v>
      </c>
    </row>
    <row r="16" spans="1:24" x14ac:dyDescent="0.4">
      <c r="A16" s="16" t="s">
        <v>40</v>
      </c>
      <c r="B16" s="7">
        <v>100</v>
      </c>
      <c r="C16" s="7" cm="1">
        <f t="array" aca="1" ref="C16" ca="1">_xlfn.XLOOKUP(A16,INDIRECT("'Finanse 8.12.xlsx'!incomes_"&amp;$A$2&amp;"[Category]"),INDIRECT("'Finanse 8.12.xlsx'!incomes_"&amp;$A$2&amp;"[Total]"),0,0,1)</f>
        <v>0</v>
      </c>
      <c r="D16" s="17">
        <f t="shared" ca="1" si="1"/>
        <v>-100</v>
      </c>
      <c r="F16" s="21" t="s">
        <v>16</v>
      </c>
      <c r="G16" s="3">
        <v>750</v>
      </c>
      <c r="H16" s="3" cm="1">
        <f t="array" aca="1" ref="H16" ca="1">-_xlfn.XLOOKUP(F16,INDIRECT("'Finanse 8.12.xlsx'!expenses_"&amp;$A$2&amp;"[Category]"),INDIRECT("'Finanse 8.12.xlsx'!expenses_"&amp;$A$2&amp;"[Total]"),0,0,1)</f>
        <v>700</v>
      </c>
      <c r="I16" s="22">
        <f t="shared" ca="1" si="2"/>
        <v>50</v>
      </c>
      <c r="K16" s="29" t="s">
        <v>19</v>
      </c>
      <c r="L16" s="14">
        <f t="shared" ca="1" si="3"/>
        <v>46001</v>
      </c>
      <c r="M16" s="8">
        <v>25</v>
      </c>
      <c r="N16" s="30"/>
      <c r="P16" s="38" t="s">
        <v>21</v>
      </c>
      <c r="Q16" s="15">
        <f ca="1">DATE(2025,$A$2,21)</f>
        <v>46012</v>
      </c>
      <c r="R16" s="5">
        <v>100</v>
      </c>
      <c r="S16" s="39"/>
      <c r="U16" s="47"/>
      <c r="V16" s="9"/>
      <c r="W16" s="48"/>
      <c r="X16" s="9">
        <f>Savings_12[[#This Row],[Planned]]-Savings_12[[#This Row],[Actual]]</f>
        <v>0</v>
      </c>
    </row>
    <row r="17" spans="1:24" x14ac:dyDescent="0.4">
      <c r="A17" s="16" t="s">
        <v>30</v>
      </c>
      <c r="B17" s="7">
        <v>1500</v>
      </c>
      <c r="C17" s="7" cm="1">
        <f t="array" aca="1" ref="C17" ca="1">_xlfn.XLOOKUP(A17,INDIRECT("'Finanse 8.12.xlsx'!incomes_"&amp;$A$2&amp;"[Category]"),INDIRECT("'Finanse 8.12.xlsx'!incomes_"&amp;$A$2&amp;"[Total]"),0,0,1)</f>
        <v>4500</v>
      </c>
      <c r="D17" s="17">
        <f t="shared" ca="1" si="1"/>
        <v>3000</v>
      </c>
      <c r="F17" s="21" t="s">
        <v>32</v>
      </c>
      <c r="G17" s="3">
        <v>130</v>
      </c>
      <c r="H17" s="3" cm="1">
        <f t="array" aca="1" ref="H17" ca="1">-_xlfn.XLOOKUP(F17,INDIRECT("'Finanse 8.12.xlsx'!expenses_"&amp;$A$2&amp;"[Category]"),INDIRECT("'Finanse 8.12.xlsx'!expenses_"&amp;$A$2&amp;"[Total]"),0,0,1)</f>
        <v>10</v>
      </c>
      <c r="I17" s="22">
        <f t="shared" ca="1" si="2"/>
        <v>120</v>
      </c>
      <c r="K17" s="29" t="s">
        <v>22</v>
      </c>
      <c r="L17" s="14">
        <f ca="1">DATE(2025,$A$2,28)</f>
        <v>46019</v>
      </c>
      <c r="M17" s="8">
        <v>35</v>
      </c>
      <c r="N17" s="30"/>
      <c r="P17" s="38" t="s">
        <v>37</v>
      </c>
      <c r="Q17" s="15">
        <f ca="1">DATE(2025,$A$2,12)</f>
        <v>46003</v>
      </c>
      <c r="R17" s="5">
        <v>42.69</v>
      </c>
      <c r="S17" s="39"/>
      <c r="U17" s="47"/>
      <c r="V17" s="9"/>
      <c r="W17" s="48"/>
      <c r="X17" s="9">
        <f>Savings_12[[#This Row],[Planned]]-Savings_12[[#This Row],[Actual]]</f>
        <v>0</v>
      </c>
    </row>
    <row r="18" spans="1:24" x14ac:dyDescent="0.4">
      <c r="A18" s="16" t="s">
        <v>15</v>
      </c>
      <c r="B18" s="7">
        <v>800</v>
      </c>
      <c r="C18" s="7" cm="1">
        <f t="array" aca="1" ref="C18" ca="1">_xlfn.XLOOKUP(A18,INDIRECT("'Finanse 8.12.xlsx'!incomes_"&amp;$A$2&amp;"[Category]"),INDIRECT("'Finanse 8.12.xlsx'!incomes_"&amp;$A$2&amp;"[Total]"),0,0,1)</f>
        <v>0</v>
      </c>
      <c r="D18" s="17">
        <f t="shared" ca="1" si="1"/>
        <v>-800</v>
      </c>
      <c r="F18" s="21" t="s">
        <v>33</v>
      </c>
      <c r="G18" s="3">
        <v>130</v>
      </c>
      <c r="H18" s="3" cm="1">
        <f t="array" aca="1" ref="H18" ca="1">-_xlfn.XLOOKUP(F18,INDIRECT("'Finanse 8.12.xlsx'!expenses_"&amp;$A$2&amp;"[Category]"),INDIRECT("'Finanse 8.12.xlsx'!expenses_"&amp;$A$2&amp;"[Total]"),0,0,1)</f>
        <v>0</v>
      </c>
      <c r="I18" s="22">
        <f t="shared" ca="1" si="2"/>
        <v>130</v>
      </c>
      <c r="K18" s="29" t="s">
        <v>24</v>
      </c>
      <c r="L18" s="14">
        <f ca="1">DATE(2025,$A$2,20)</f>
        <v>46011</v>
      </c>
      <c r="M18" s="8">
        <v>60</v>
      </c>
      <c r="N18" s="30"/>
      <c r="P18" s="38"/>
      <c r="Q18" s="4"/>
      <c r="R18" s="5"/>
      <c r="S18" s="39"/>
      <c r="U18" s="47"/>
      <c r="V18" s="9"/>
      <c r="W18" s="48"/>
      <c r="X18" s="9">
        <f>Savings_12[[#This Row],[Planned]]-Savings_12[[#This Row],[Actual]]</f>
        <v>0</v>
      </c>
    </row>
    <row r="19" spans="1:24" x14ac:dyDescent="0.4">
      <c r="A19" s="16"/>
      <c r="B19" s="7"/>
      <c r="C19" s="7"/>
      <c r="D19" s="17"/>
      <c r="E19" s="6"/>
      <c r="F19" s="21" t="s">
        <v>42</v>
      </c>
      <c r="G19" s="3">
        <v>200</v>
      </c>
      <c r="H19" s="3" cm="1">
        <f t="array" aca="1" ref="H19" ca="1">-_xlfn.XLOOKUP(F19,INDIRECT("'Finanse 8.12.xlsx'!expenses_"&amp;$A$2&amp;"[Category]"),INDIRECT("'Finanse 8.12.xlsx'!expenses_"&amp;$A$2&amp;"[Total]"),0,0,1)</f>
        <v>700</v>
      </c>
      <c r="I19" s="22">
        <f t="shared" ca="1" si="2"/>
        <v>-500</v>
      </c>
      <c r="K19" s="29"/>
      <c r="L19" s="2"/>
      <c r="M19" s="8"/>
      <c r="N19" s="30"/>
      <c r="P19" s="38"/>
      <c r="Q19" s="4"/>
      <c r="R19" s="5"/>
      <c r="S19" s="39"/>
      <c r="U19" s="47"/>
      <c r="V19" s="9"/>
      <c r="W19" s="48"/>
      <c r="X19" s="9">
        <f>Savings_12[[#This Row],[Planned]]-Savings_12[[#This Row],[Actual]]</f>
        <v>0</v>
      </c>
    </row>
    <row r="20" spans="1:24" x14ac:dyDescent="0.4">
      <c r="A20" s="16"/>
      <c r="B20" s="7"/>
      <c r="C20" s="7"/>
      <c r="D20" s="17"/>
      <c r="F20" s="21" t="s">
        <v>34</v>
      </c>
      <c r="G20" s="3">
        <v>200</v>
      </c>
      <c r="H20" s="3" cm="1">
        <f t="array" aca="1" ref="H20" ca="1">-_xlfn.XLOOKUP(F20,INDIRECT("'Finanse 8.12.xlsx'!expenses_"&amp;$A$2&amp;"[Category]"),INDIRECT("'Finanse 8.12.xlsx'!expenses_"&amp;$A$2&amp;"[Total]"),0,0,1)</f>
        <v>100</v>
      </c>
      <c r="I20" s="22">
        <f t="shared" ca="1" si="2"/>
        <v>100</v>
      </c>
      <c r="K20" s="29"/>
      <c r="L20" s="2"/>
      <c r="M20" s="8"/>
      <c r="N20" s="30"/>
      <c r="P20" s="38"/>
      <c r="Q20" s="4"/>
      <c r="R20" s="5"/>
      <c r="S20" s="39"/>
      <c r="U20" s="47"/>
      <c r="V20" s="9"/>
      <c r="W20" s="48"/>
      <c r="X20" s="9">
        <f>Savings_12[[#This Row],[Planned]]-Savings_12[[#This Row],[Actual]]</f>
        <v>0</v>
      </c>
    </row>
    <row r="21" spans="1:24" x14ac:dyDescent="0.4">
      <c r="A21" s="16"/>
      <c r="B21" s="7"/>
      <c r="C21" s="7"/>
      <c r="D21" s="17"/>
      <c r="F21" s="21" t="s">
        <v>35</v>
      </c>
      <c r="G21" s="3">
        <v>150</v>
      </c>
      <c r="H21" s="3" cm="1">
        <f t="array" aca="1" ref="H21" ca="1">-_xlfn.XLOOKUP(F21,INDIRECT("'Finanse 8.12.xlsx'!expenses_"&amp;$A$2&amp;"[Category]"),INDIRECT("'Finanse 8.12.xlsx'!expenses_"&amp;$A$2&amp;"[Total]"),0,0,1)</f>
        <v>0</v>
      </c>
      <c r="I21" s="22">
        <f t="shared" ca="1" si="2"/>
        <v>150</v>
      </c>
      <c r="K21" s="29"/>
      <c r="L21" s="2"/>
      <c r="M21" s="8"/>
      <c r="N21" s="30"/>
      <c r="P21" s="38"/>
      <c r="Q21" s="4"/>
      <c r="R21" s="5"/>
      <c r="S21" s="39"/>
      <c r="U21" s="47"/>
      <c r="V21" s="9"/>
      <c r="W21" s="48"/>
      <c r="X21" s="9">
        <f>Savings_12[[#This Row],[Planned]]-Savings_12[[#This Row],[Actual]]</f>
        <v>0</v>
      </c>
    </row>
    <row r="22" spans="1:24" x14ac:dyDescent="0.4">
      <c r="A22" s="16"/>
      <c r="B22" s="7"/>
      <c r="C22" s="7"/>
      <c r="D22" s="17"/>
      <c r="F22" s="21"/>
      <c r="G22" s="3"/>
      <c r="H22" s="3"/>
      <c r="I22" s="22"/>
      <c r="K22" s="29"/>
      <c r="L22" s="2"/>
      <c r="M22" s="8"/>
      <c r="N22" s="30"/>
      <c r="P22" s="38"/>
      <c r="Q22" s="4"/>
      <c r="R22" s="5"/>
      <c r="S22" s="39"/>
      <c r="U22" s="47"/>
      <c r="V22" s="9"/>
      <c r="W22" s="48"/>
      <c r="X22" s="9">
        <f>Savings_12[[#This Row],[Planned]]-Savings_12[[#This Row],[Actual]]</f>
        <v>0</v>
      </c>
    </row>
    <row r="23" spans="1:24" x14ac:dyDescent="0.4">
      <c r="A23" s="16"/>
      <c r="B23" s="7"/>
      <c r="C23" s="7"/>
      <c r="D23" s="17"/>
      <c r="F23" s="21"/>
      <c r="G23" s="3"/>
      <c r="H23" s="3"/>
      <c r="I23" s="22"/>
      <c r="K23" s="29"/>
      <c r="L23" s="2"/>
      <c r="M23" s="8"/>
      <c r="N23" s="30"/>
      <c r="P23" s="38"/>
      <c r="Q23" s="4"/>
      <c r="R23" s="5"/>
      <c r="S23" s="39"/>
      <c r="U23" s="47"/>
      <c r="V23" s="9"/>
      <c r="W23" s="48"/>
      <c r="X23" s="9">
        <f>Savings_12[[#This Row],[Planned]]-Savings_12[[#This Row],[Actual]]</f>
        <v>0</v>
      </c>
    </row>
    <row r="24" spans="1:24" x14ac:dyDescent="0.4">
      <c r="A24" s="16"/>
      <c r="B24" s="7"/>
      <c r="C24" s="7"/>
      <c r="D24" s="17"/>
      <c r="F24" s="21"/>
      <c r="G24" s="3"/>
      <c r="H24" s="3"/>
      <c r="I24" s="22"/>
      <c r="K24" s="29"/>
      <c r="L24" s="2"/>
      <c r="M24" s="8"/>
      <c r="N24" s="30"/>
      <c r="P24" s="38"/>
      <c r="Q24" s="4"/>
      <c r="R24" s="5"/>
      <c r="S24" s="39"/>
      <c r="U24" s="47"/>
      <c r="V24" s="9"/>
      <c r="W24" s="48"/>
      <c r="X24" s="9">
        <f>Savings_12[[#This Row],[Planned]]-Savings_12[[#This Row],[Actual]]</f>
        <v>0</v>
      </c>
    </row>
    <row r="25" spans="1:24" x14ac:dyDescent="0.4">
      <c r="A25" s="16"/>
      <c r="B25" s="7"/>
      <c r="C25" s="7"/>
      <c r="D25" s="17"/>
      <c r="F25" s="21"/>
      <c r="G25" s="3"/>
      <c r="H25" s="3"/>
      <c r="I25" s="22"/>
      <c r="K25" s="29"/>
      <c r="L25" s="2"/>
      <c r="M25" s="8"/>
      <c r="N25" s="30"/>
      <c r="P25" s="38"/>
      <c r="Q25" s="4"/>
      <c r="R25" s="5"/>
      <c r="S25" s="39"/>
      <c r="U25" s="47"/>
      <c r="V25" s="9"/>
      <c r="W25" s="48"/>
      <c r="X25" s="9">
        <f>Savings_12[[#This Row],[Planned]]-Savings_12[[#This Row],[Actual]]</f>
        <v>0</v>
      </c>
    </row>
    <row r="26" spans="1:24" x14ac:dyDescent="0.4">
      <c r="A26" s="18"/>
      <c r="B26" s="19"/>
      <c r="C26" s="19"/>
      <c r="D26" s="20"/>
      <c r="F26" s="26"/>
      <c r="G26" s="27"/>
      <c r="H26" s="27"/>
      <c r="I26" s="28"/>
      <c r="K26" s="34"/>
      <c r="L26" s="35"/>
      <c r="M26" s="36"/>
      <c r="N26" s="37"/>
      <c r="P26" s="43"/>
      <c r="Q26" s="44"/>
      <c r="R26" s="45"/>
      <c r="S26" s="46"/>
      <c r="U26" s="52"/>
      <c r="V26" s="53"/>
      <c r="W26" s="54"/>
      <c r="X26" s="9">
        <f>Savings_12[[#This Row],[Planned]]-Savings_12[[#This Row],[Actual]]</f>
        <v>0</v>
      </c>
    </row>
    <row r="27" spans="1:24" ht="22.5" x14ac:dyDescent="0.45">
      <c r="A27" s="61" t="s">
        <v>45</v>
      </c>
      <c r="B27" s="62">
        <f>SUM(B13:B26)</f>
        <v>5700</v>
      </c>
      <c r="C27" s="62">
        <f ca="1">SUM(Income_12[Actual])</f>
        <v>6500</v>
      </c>
      <c r="D27" s="63">
        <f ca="1">SUBTOTAL(109,Income_12[Left])</f>
        <v>800</v>
      </c>
      <c r="F27" s="58" t="s">
        <v>45</v>
      </c>
      <c r="G27" s="59">
        <f>SUM(G13:G26)</f>
        <v>3795</v>
      </c>
      <c r="H27" s="59">
        <f ca="1">SUM(H13:H26)</f>
        <v>4080</v>
      </c>
      <c r="I27" s="60">
        <f ca="1">SUBTOTAL(109,Expenses_12[Left])</f>
        <v>-285</v>
      </c>
      <c r="K27" s="64" t="s">
        <v>45</v>
      </c>
      <c r="L27" s="65"/>
      <c r="M27" s="66">
        <f>SUM(M13:M26)</f>
        <v>1735</v>
      </c>
      <c r="N27" s="67">
        <f>SUBTOTAL(103,Bills_12[Actual])</f>
        <v>0</v>
      </c>
      <c r="P27" s="68" t="s">
        <v>45</v>
      </c>
      <c r="Q27" s="69"/>
      <c r="R27" s="70">
        <f>SUM(R13:R26)</f>
        <v>211.67000000000002</v>
      </c>
      <c r="S27" s="71">
        <f>SUBTOTAL(103,Subscriptions_12[Actual])</f>
        <v>0</v>
      </c>
      <c r="U27" s="72" t="s">
        <v>45</v>
      </c>
      <c r="V27" s="73">
        <f>SUM(V13:V26)</f>
        <v>1905</v>
      </c>
      <c r="W27" s="74">
        <f>SUBTOTAL(109,Savings_12[Actual])</f>
        <v>0</v>
      </c>
      <c r="X27" s="10">
        <f>SUM(Savings_12[Left])</f>
        <v>1905</v>
      </c>
    </row>
  </sheetData>
  <mergeCells count="7">
    <mergeCell ref="U11:X11"/>
    <mergeCell ref="A1:D1"/>
    <mergeCell ref="A2:D2"/>
    <mergeCell ref="A11:D11"/>
    <mergeCell ref="F11:I11"/>
    <mergeCell ref="K11:N11"/>
    <mergeCell ref="P11:S11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Maja Abuhasna</dc:creator>
  <cp:keywords/>
  <dc:description/>
  <cp:lastModifiedBy>en-A301-08</cp:lastModifiedBy>
  <cp:revision/>
  <dcterms:created xsi:type="dcterms:W3CDTF">2025-10-31T12:46:44Z</dcterms:created>
  <dcterms:modified xsi:type="dcterms:W3CDTF">2026-01-16T13:04:40Z</dcterms:modified>
  <cp:category/>
  <cp:contentStatus/>
</cp:coreProperties>
</file>