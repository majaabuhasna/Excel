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-A301-08\Desktop\excel\"/>
    </mc:Choice>
  </mc:AlternateContent>
  <xr:revisionPtr revIDLastSave="0" documentId="13_ncr:1_{ADCA1CC4-7669-465E-8D70-FD1AF93C866E}" xr6:coauthVersionLast="47" xr6:coauthVersionMax="47" xr10:uidLastSave="{00000000-0000-0000-0000-000000000000}"/>
  <bookViews>
    <workbookView xWindow="-120" yWindow="-120" windowWidth="29040" windowHeight="15840" xr2:uid="{1350B4C1-6FA8-4F8D-9418-F675D7B2477F}"/>
  </bookViews>
  <sheets>
    <sheet name="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Q17" i="1" s="1"/>
  <c r="W27" i="1"/>
  <c r="C7" i="1" s="1"/>
  <c r="S27" i="1"/>
  <c r="R27" i="1"/>
  <c r="N27" i="1"/>
  <c r="M27" i="1"/>
  <c r="G27" i="1"/>
  <c r="B6" i="1" s="1"/>
  <c r="B27" i="1"/>
  <c r="B5" i="1" s="1"/>
  <c r="H13" i="1" a="1"/>
  <c r="C13" i="1" a="1"/>
  <c r="Q16" i="1" l="1"/>
  <c r="Q15" i="1"/>
  <c r="Q14" i="1"/>
  <c r="Q13" i="1"/>
  <c r="L18" i="1"/>
  <c r="L14" i="1"/>
  <c r="L17" i="1"/>
  <c r="L13" i="1"/>
  <c r="L15" i="1"/>
  <c r="L16" i="1"/>
  <c r="H13" i="1"/>
  <c r="I13" i="1" s="1"/>
  <c r="C13" i="1"/>
  <c r="D13" i="1" s="1"/>
  <c r="H14" i="1" a="1"/>
  <c r="H19" i="1" a="1"/>
  <c r="H15" i="1" a="1"/>
  <c r="H20" i="1" a="1"/>
  <c r="H16" i="1" a="1"/>
  <c r="H18" i="1" a="1"/>
  <c r="H17" i="1" a="1"/>
  <c r="H21" i="1" a="1"/>
  <c r="C14" i="1" a="1"/>
  <c r="C17" i="1" a="1"/>
  <c r="C16" i="1" a="1"/>
  <c r="C18" i="1" a="1"/>
  <c r="C15" i="1" a="1"/>
  <c r="H21" i="1" l="1"/>
  <c r="I21" i="1" s="1"/>
  <c r="H17" i="1"/>
  <c r="I17" i="1" s="1"/>
  <c r="H18" i="1"/>
  <c r="I18" i="1" s="1"/>
  <c r="H16" i="1"/>
  <c r="I16" i="1" s="1"/>
  <c r="H20" i="1"/>
  <c r="I20" i="1" s="1"/>
  <c r="H15" i="1"/>
  <c r="I15" i="1" s="1"/>
  <c r="H19" i="1"/>
  <c r="I19" i="1" s="1"/>
  <c r="H14" i="1"/>
  <c r="I14" i="1" s="1"/>
  <c r="C15" i="1"/>
  <c r="D15" i="1" s="1"/>
  <c r="C18" i="1"/>
  <c r="D18" i="1" s="1"/>
  <c r="C16" i="1"/>
  <c r="D16" i="1" s="1"/>
  <c r="C17" i="1"/>
  <c r="D17" i="1" s="1"/>
  <c r="C14" i="1"/>
  <c r="D14" i="1" s="1"/>
  <c r="I27" i="1" l="1"/>
  <c r="D6" i="1" s="1"/>
  <c r="D27" i="1"/>
  <c r="D5" i="1" s="1"/>
  <c r="H27" i="1"/>
  <c r="C6" i="1" s="1"/>
  <c r="C27" i="1"/>
  <c r="C5" i="1" s="1"/>
  <c r="V27" i="1"/>
  <c r="B7" i="1" s="1"/>
  <c r="B9" i="1" s="1"/>
  <c r="C9" i="1" l="1"/>
  <c r="D7" i="1"/>
  <c r="D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<sst xmlns="http://schemas.openxmlformats.org/spreadsheetml/2006/main" count="66" uniqueCount="46">
  <si>
    <t>Incomes</t>
  </si>
  <si>
    <t>Expenses</t>
  </si>
  <si>
    <t>Bills</t>
  </si>
  <si>
    <t>Subscriptions</t>
  </si>
  <si>
    <t>Savings</t>
  </si>
  <si>
    <t>Source</t>
  </si>
  <si>
    <t>Planned</t>
  </si>
  <si>
    <t>Actual</t>
  </si>
  <si>
    <t>Category</t>
  </si>
  <si>
    <t>Bill</t>
  </si>
  <si>
    <t>Service</t>
  </si>
  <si>
    <t>Aim</t>
  </si>
  <si>
    <t>Allowance</t>
  </si>
  <si>
    <t>Rent</t>
  </si>
  <si>
    <t>Netflix</t>
  </si>
  <si>
    <t>Scholarship</t>
  </si>
  <si>
    <t>Groceries</t>
  </si>
  <si>
    <t>Electricity</t>
  </si>
  <si>
    <t>Spotify</t>
  </si>
  <si>
    <t>Gas</t>
  </si>
  <si>
    <t>Water</t>
  </si>
  <si>
    <t>ChatGPT</t>
  </si>
  <si>
    <t>Waste</t>
  </si>
  <si>
    <t>Entertainment</t>
  </si>
  <si>
    <t>Internet</t>
  </si>
  <si>
    <t>Sum</t>
  </si>
  <si>
    <t>Month</t>
  </si>
  <si>
    <t>Left</t>
  </si>
  <si>
    <t>Balance</t>
  </si>
  <si>
    <t>Financial</t>
  </si>
  <si>
    <t>Gift</t>
  </si>
  <si>
    <t>Salary</t>
  </si>
  <si>
    <t>Clothing</t>
  </si>
  <si>
    <t>Health&amp;Beauty</t>
  </si>
  <si>
    <t>Multimedia</t>
  </si>
  <si>
    <t>Studies</t>
  </si>
  <si>
    <t>Transportation</t>
  </si>
  <si>
    <t>Bookbeat</t>
  </si>
  <si>
    <t>Duolingo</t>
  </si>
  <si>
    <t>Laptop</t>
  </si>
  <si>
    <t>Summer holidays</t>
  </si>
  <si>
    <t>Other incoms</t>
  </si>
  <si>
    <t>Accomodation</t>
  </si>
  <si>
    <t>Other expences</t>
  </si>
  <si>
    <t>Rainy day</t>
  </si>
  <si>
    <t>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</si>
</sst>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zł&quot;_-;\-* #,##0.00\ &quot;zł&quot;_-;_-* &quot;-&quot;??\ &quot;zł&quot;_-;_-@_-"/>
    <numFmt numFmtId="165" formatCode="_-* #,##0.00\ [$zł-415]_-;\-* #,##0.00\ [$zł-415]_-;_-* &quot;-&quot;??\ [$zł-415]_-;_-@_-"/>
  </numFmts>
  <fonts count="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4"/>
      <color theme="1"/>
      <name val="Comic Sans MS"/>
      <family val="4"/>
      <charset val="238"/>
    </font>
    <font>
      <sz val="14"/>
      <color theme="7" tint="0.79998168889431442"/>
      <name val="Comic Sans MS"/>
      <family val="4"/>
      <charset val="238"/>
    </font>
    <font>
      <sz val="14"/>
      <color theme="0"/>
      <name val="Comic Sans MS"/>
      <family val="4"/>
      <charset val="238"/>
    </font>
    <font>
      <sz val="14"/>
      <color rgb="FFFF0000"/>
      <name val="Comic Sans MS"/>
      <family val="4"/>
      <charset val="238"/>
    </font>
  </fonts>
  <fills count="1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165" fontId="2" fillId="3" borderId="1" xfId="1" applyNumberFormat="1" applyFont="1" applyFill="1" applyBorder="1"/>
    <xf numFmtId="0" fontId="2" fillId="4" borderId="1" xfId="0" applyFont="1" applyFill="1" applyBorder="1"/>
    <xf numFmtId="165" fontId="2" fillId="4" borderId="1" xfId="0" applyNumberFormat="1" applyFont="1" applyFill="1" applyBorder="1"/>
    <xf numFmtId="0" fontId="3" fillId="0" borderId="0" xfId="0" applyFont="1"/>
    <xf numFmtId="0" fontId="4" fillId="5" borderId="1" xfId="0" applyFont="1" applyFill="1" applyBorder="1"/>
    <xf numFmtId="0" fontId="4" fillId="6" borderId="1" xfId="0" applyFont="1" applyFill="1" applyBorder="1"/>
    <xf numFmtId="165" fontId="4" fillId="6" borderId="1" xfId="1" applyNumberFormat="1" applyFont="1" applyFill="1" applyBorder="1"/>
    <xf numFmtId="0" fontId="4" fillId="7" borderId="1" xfId="0" applyFont="1" applyFill="1" applyBorder="1"/>
    <xf numFmtId="165" fontId="4" fillId="7" borderId="1" xfId="0" applyNumberFormat="1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165" fontId="2" fillId="11" borderId="1" xfId="0" applyNumberFormat="1" applyFont="1" applyFill="1" applyBorder="1"/>
    <xf numFmtId="165" fontId="2" fillId="2" borderId="1" xfId="1" applyNumberFormat="1" applyFont="1" applyFill="1" applyBorder="1"/>
    <xf numFmtId="0" fontId="2" fillId="12" borderId="1" xfId="0" applyFont="1" applyFill="1" applyBorder="1"/>
    <xf numFmtId="165" fontId="2" fillId="12" borderId="1" xfId="0" applyNumberFormat="1" applyFont="1" applyFill="1" applyBorder="1"/>
    <xf numFmtId="0" fontId="4" fillId="13" borderId="1" xfId="0" applyFont="1" applyFill="1" applyBorder="1"/>
    <xf numFmtId="165" fontId="4" fillId="13" borderId="1" xfId="0" applyNumberFormat="1" applyFont="1" applyFill="1" applyBorder="1"/>
    <xf numFmtId="165" fontId="4" fillId="5" borderId="1" xfId="1" applyNumberFormat="1" applyFont="1" applyFill="1" applyBorder="1"/>
    <xf numFmtId="0" fontId="4" fillId="14" borderId="1" xfId="0" applyFont="1" applyFill="1" applyBorder="1"/>
    <xf numFmtId="165" fontId="4" fillId="14" borderId="1" xfId="0" applyNumberFormat="1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4" fillId="1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4" fillId="14" borderId="0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2" fillId="0" borderId="0" xfId="0" applyFont="1" applyBorder="1" applyAlignment="1"/>
    <xf numFmtId="0" fontId="4" fillId="0" borderId="0" xfId="0" applyFont="1" applyFill="1" applyBorder="1" applyAlignment="1"/>
    <xf numFmtId="0" fontId="2" fillId="0" borderId="0" xfId="0" applyFont="1" applyFill="1"/>
    <xf numFmtId="0" fontId="2" fillId="0" borderId="2" xfId="0" applyFont="1" applyFill="1" applyBorder="1"/>
    <xf numFmtId="0" fontId="2" fillId="0" borderId="0" xfId="0" applyFont="1" applyBorder="1"/>
    <xf numFmtId="0" fontId="2" fillId="0" borderId="0" xfId="0" applyFont="1" applyFill="1" applyBorder="1"/>
    <xf numFmtId="0" fontId="4" fillId="13" borderId="2" xfId="0" applyFont="1" applyFill="1" applyBorder="1" applyAlignment="1">
      <alignment horizontal="center"/>
    </xf>
    <xf numFmtId="0" fontId="4" fillId="13" borderId="0" xfId="0" applyFont="1" applyFill="1" applyBorder="1" applyAlignment="1">
      <alignment horizontal="center"/>
    </xf>
    <xf numFmtId="14" fontId="5" fillId="2" borderId="1" xfId="0" applyNumberFormat="1" applyFont="1" applyFill="1" applyBorder="1"/>
    <xf numFmtId="14" fontId="5" fillId="4" borderId="1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val>
            <c:numRef>
              <c:f>'1'!$B$5:$B$7</c:f>
              <c:numCache>
                <c:formatCode>_-* #,##0.00\ [$zł-415]_-;\-* #,##0.00\ [$zł-415]_-;_-* "-"??\ [$zł-415]_-;_-@_-</c:formatCode>
                <c:ptCount val="3"/>
                <c:pt idx="0">
                  <c:v>5700</c:v>
                </c:pt>
                <c:pt idx="1">
                  <c:v>3795</c:v>
                </c:pt>
                <c:pt idx="2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8-4A7E-8CE5-C769EA05239E}"/>
            </c:ext>
          </c:extLst>
        </c:ser>
        <c:ser>
          <c:idx val="1"/>
          <c:order val="1"/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'1'!$C$5:$C$7</c:f>
              <c:numCache>
                <c:formatCode>_-* #,##0.00\ [$zł-415]_-;\-* #,##0.00\ [$zł-415]_-;_-* "-"??\ [$zł-415]_-;_-@_-</c:formatCode>
                <c:ptCount val="3"/>
                <c:pt idx="0">
                  <c:v>5655.5</c:v>
                </c:pt>
                <c:pt idx="1">
                  <c:v>4810</c:v>
                </c:pt>
                <c:pt idx="2">
                  <c:v>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C8-4A7E-8CE5-C769EA052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4850896"/>
        <c:axId val="1914862896"/>
      </c:barChart>
      <c:catAx>
        <c:axId val="191485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4862896"/>
        <c:crosses val="autoZero"/>
        <c:auto val="1"/>
        <c:lblAlgn val="ctr"/>
        <c:lblOffset val="100"/>
        <c:noMultiLvlLbl val="0"/>
      </c:catAx>
      <c:valAx>
        <c:axId val="191486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zł-415]_-;\-* #,##0.00\ [$zł-415]_-;_-* &quot;-&quot;??\ [$zł-415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485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185530</xdr:rowOff>
    </xdr:from>
    <xdr:to>
      <xdr:col>7</xdr:col>
      <xdr:colOff>505239</xdr:colOff>
      <xdr:row>8</xdr:row>
      <xdr:rowOff>8282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CFFB7E-72CF-9596-91B4-1FEE542AA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Aspek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B483-69A1-40A7-B143-580A9C6FC79C}">
  <dimension ref="A1:W27"/>
  <sheetViews>
    <sheetView tabSelected="1" topLeftCell="E1" zoomScale="115" zoomScaleNormal="115" workbookViewId="0">
      <selection activeCell="H6" sqref="H6"/>
    </sheetView>
  </sheetViews>
  <sheetFormatPr defaultColWidth="9.125" defaultRowHeight="21" x14ac:dyDescent="0.4"/>
  <cols>
    <col min="1" max="1" width="17.125" style="1" bestFit="1" customWidth="1"/>
    <col min="2" max="2" width="16.25" style="1" bestFit="1" customWidth="1"/>
    <col min="3" max="4" width="16.125" style="1" bestFit="1" customWidth="1"/>
    <col min="5" max="5" width="9.125" style="1"/>
    <col min="6" max="6" width="18.5" style="1" bestFit="1" customWidth="1"/>
    <col min="7" max="7" width="16.25" style="1" bestFit="1" customWidth="1"/>
    <col min="8" max="8" width="16.125" style="1" bestFit="1" customWidth="1"/>
    <col min="9" max="9" width="15.375" style="1" bestFit="1" customWidth="1"/>
    <col min="10" max="10" width="9.125" style="1"/>
    <col min="11" max="11" width="13.25" style="1" bestFit="1" customWidth="1"/>
    <col min="12" max="12" width="13.875" style="1" bestFit="1" customWidth="1"/>
    <col min="13" max="13" width="15.875" style="1" bestFit="1" customWidth="1"/>
    <col min="14" max="14" width="10" style="1" bestFit="1" customWidth="1"/>
    <col min="15" max="15" width="9.125" style="1"/>
    <col min="16" max="16" width="11.25" style="1" bestFit="1" customWidth="1"/>
    <col min="17" max="17" width="13.875" style="1" bestFit="1" customWidth="1"/>
    <col min="18" max="18" width="13.625" style="1" bestFit="1" customWidth="1"/>
    <col min="19" max="19" width="10" style="1" bestFit="1" customWidth="1"/>
    <col min="20" max="20" width="9.125" style="1"/>
    <col min="21" max="21" width="19.875" style="1" bestFit="1" customWidth="1"/>
    <col min="22" max="22" width="15.875" style="1" bestFit="1" customWidth="1"/>
    <col min="23" max="23" width="14.125" style="1" bestFit="1" customWidth="1"/>
    <col min="24" max="16384" width="9.125" style="1"/>
  </cols>
  <sheetData>
    <row r="1" spans="1:23" x14ac:dyDescent="0.4">
      <c r="A1" s="31" t="s">
        <v>26</v>
      </c>
      <c r="B1" s="32"/>
      <c r="C1" s="32"/>
      <c r="D1" s="32"/>
      <c r="E1" s="39"/>
    </row>
    <row r="2" spans="1:23" x14ac:dyDescent="0.4">
      <c r="A2" s="33" t="str" cm="1">
        <f t="array" aca="1" ref="A2" ca="1">RIGHT(CELL("filename",A1),LEN(CELL("filename",A1))-FIND("]",CELL("filename",A1)))</f>
        <v>1</v>
      </c>
      <c r="B2" s="34"/>
      <c r="C2" s="34"/>
      <c r="D2" s="34"/>
      <c r="E2" s="38"/>
    </row>
    <row r="3" spans="1:23" x14ac:dyDescent="0.4">
      <c r="E3" s="40"/>
    </row>
    <row r="4" spans="1:23" x14ac:dyDescent="0.4">
      <c r="B4" s="27" t="s">
        <v>6</v>
      </c>
      <c r="C4" s="27" t="s">
        <v>7</v>
      </c>
      <c r="D4" s="27" t="s">
        <v>27</v>
      </c>
      <c r="E4" s="41"/>
      <c r="F4" s="42"/>
    </row>
    <row r="5" spans="1:23" x14ac:dyDescent="0.4">
      <c r="A5" s="27" t="s">
        <v>0</v>
      </c>
      <c r="B5" s="20">
        <f>B27</f>
        <v>5700</v>
      </c>
      <c r="C5" s="20">
        <f ca="1">C27</f>
        <v>5655.5</v>
      </c>
      <c r="D5" s="20">
        <f ca="1">D27</f>
        <v>-44.5</v>
      </c>
      <c r="E5" s="41"/>
    </row>
    <row r="6" spans="1:23" x14ac:dyDescent="0.4">
      <c r="A6" s="27" t="s">
        <v>1</v>
      </c>
      <c r="B6" s="20">
        <f>G27</f>
        <v>3795</v>
      </c>
      <c r="C6" s="20">
        <f ca="1">H27</f>
        <v>4810</v>
      </c>
      <c r="D6" s="20">
        <f ca="1">I27</f>
        <v>-1015</v>
      </c>
      <c r="E6" s="41"/>
      <c r="F6" s="42"/>
    </row>
    <row r="7" spans="1:23" x14ac:dyDescent="0.4">
      <c r="A7" s="27" t="s">
        <v>4</v>
      </c>
      <c r="B7" s="20">
        <f>V27</f>
        <v>1300</v>
      </c>
      <c r="C7" s="20">
        <f>W27</f>
        <v>605</v>
      </c>
      <c r="D7" s="20">
        <f>C7-B7</f>
        <v>-695</v>
      </c>
      <c r="E7" s="41"/>
    </row>
    <row r="8" spans="1:23" x14ac:dyDescent="0.4">
      <c r="E8" s="43"/>
    </row>
    <row r="9" spans="1:23" x14ac:dyDescent="0.4">
      <c r="A9" s="27" t="s">
        <v>28</v>
      </c>
      <c r="B9" s="20">
        <f>B5-B6-B7</f>
        <v>605</v>
      </c>
      <c r="C9" s="20">
        <f t="shared" ref="C9" ca="1" si="0">C5-C6-C7</f>
        <v>240.5</v>
      </c>
      <c r="D9" s="20">
        <f ca="1">D5+D6-D7</f>
        <v>-364.5</v>
      </c>
      <c r="E9" s="41"/>
      <c r="F9" s="42"/>
    </row>
    <row r="11" spans="1:23" x14ac:dyDescent="0.4">
      <c r="A11" s="44" t="s">
        <v>0</v>
      </c>
      <c r="B11" s="45"/>
      <c r="C11" s="45"/>
      <c r="D11" s="45"/>
      <c r="F11" s="35" t="s">
        <v>1</v>
      </c>
      <c r="G11" s="36"/>
      <c r="H11" s="36"/>
      <c r="I11" s="37"/>
      <c r="K11" s="29" t="s">
        <v>2</v>
      </c>
      <c r="L11" s="29"/>
      <c r="M11" s="29"/>
      <c r="N11" s="29"/>
      <c r="P11" s="30" t="s">
        <v>3</v>
      </c>
      <c r="Q11" s="30"/>
      <c r="R11" s="30"/>
      <c r="S11" s="30"/>
      <c r="U11" s="28" t="s">
        <v>4</v>
      </c>
      <c r="V11" s="28"/>
      <c r="W11" s="28"/>
    </row>
    <row r="12" spans="1:23" x14ac:dyDescent="0.4">
      <c r="A12" s="26" t="s">
        <v>5</v>
      </c>
      <c r="B12" s="26" t="s">
        <v>6</v>
      </c>
      <c r="C12" s="26" t="s">
        <v>7</v>
      </c>
      <c r="D12" s="26" t="s">
        <v>27</v>
      </c>
      <c r="F12" s="14" t="s">
        <v>8</v>
      </c>
      <c r="G12" s="14" t="s">
        <v>6</v>
      </c>
      <c r="H12" s="14" t="s">
        <v>7</v>
      </c>
      <c r="I12" s="14" t="s">
        <v>27</v>
      </c>
      <c r="K12" s="13" t="s">
        <v>9</v>
      </c>
      <c r="L12" s="13" t="s">
        <v>45</v>
      </c>
      <c r="M12" s="13" t="s">
        <v>6</v>
      </c>
      <c r="N12" s="13" t="s">
        <v>7</v>
      </c>
      <c r="P12" s="15" t="s">
        <v>10</v>
      </c>
      <c r="Q12" s="15" t="s">
        <v>45</v>
      </c>
      <c r="R12" s="15" t="s">
        <v>6</v>
      </c>
      <c r="S12" s="15" t="s">
        <v>7</v>
      </c>
      <c r="U12" s="27" t="s">
        <v>11</v>
      </c>
      <c r="V12" s="27" t="s">
        <v>6</v>
      </c>
      <c r="W12" s="27" t="s">
        <v>7</v>
      </c>
    </row>
    <row r="13" spans="1:23" x14ac:dyDescent="0.4">
      <c r="A13" s="16" t="s">
        <v>12</v>
      </c>
      <c r="B13" s="17">
        <v>2500</v>
      </c>
      <c r="C13" s="17" cm="1">
        <f t="array" aca="1" ref="C13" ca="1">_xlfn.XLOOKUP(A13,INDIRECT("'Finanse 8.12.xlsx'!incomes_"&amp;$A$2&amp;"[Category]"),INDIRECT("'Finanse 8.12.xlsx'!incomes_"&amp;$A$2&amp;"[Total]"),0,0,1)</f>
        <v>250</v>
      </c>
      <c r="D13" s="17">
        <f ca="1">C13-B13</f>
        <v>-2250</v>
      </c>
      <c r="F13" s="3" t="s">
        <v>42</v>
      </c>
      <c r="G13" s="4">
        <v>1735</v>
      </c>
      <c r="H13" s="4" cm="1">
        <f t="array" aca="1" ref="H13" ca="1">-_xlfn.XLOOKUP(F13,INDIRECT("'Finanse 8.12.xlsx'!expenses_"&amp;$A$2&amp;"[Category]"),INDIRECT("'Finanse 8.12.xlsx'!expenses_"&amp;$A$2&amp;"[Total]"),0,0,1)</f>
        <v>2000</v>
      </c>
      <c r="I13" s="4">
        <f ca="1">G13-H13</f>
        <v>-265</v>
      </c>
      <c r="K13" s="2" t="s">
        <v>13</v>
      </c>
      <c r="L13" s="46">
        <f ca="1">DATE(2025,$A$2,10)</f>
        <v>45667</v>
      </c>
      <c r="M13" s="18">
        <v>1500</v>
      </c>
      <c r="N13" s="18"/>
      <c r="P13" s="5" t="s">
        <v>18</v>
      </c>
      <c r="Q13" s="47">
        <f ca="1">DATE(2025,$A$2,5)</f>
        <v>45662</v>
      </c>
      <c r="R13" s="6">
        <v>12.99</v>
      </c>
      <c r="S13" s="6"/>
      <c r="U13" s="19" t="s">
        <v>39</v>
      </c>
      <c r="V13" s="20">
        <v>500</v>
      </c>
      <c r="W13" s="20"/>
    </row>
    <row r="14" spans="1:23" x14ac:dyDescent="0.4">
      <c r="A14" s="16" t="s">
        <v>29</v>
      </c>
      <c r="B14" s="17">
        <v>300</v>
      </c>
      <c r="C14" s="17" cm="1">
        <f t="array" aca="1" ref="C14" ca="1">_xlfn.XLOOKUP(A14,INDIRECT("'Finanse 8.12.xlsx'!incomes_"&amp;$A$2&amp;"[Category]"),INDIRECT("'Finanse 8.12.xlsx'!incomes_"&amp;$A$2&amp;"[Total]"),0,0,1)</f>
        <v>105.5</v>
      </c>
      <c r="D14" s="17">
        <f t="shared" ref="D14:D18" ca="1" si="1">C14-B14</f>
        <v>-194.5</v>
      </c>
      <c r="F14" s="3" t="s">
        <v>32</v>
      </c>
      <c r="G14" s="4">
        <v>200</v>
      </c>
      <c r="H14" s="4" cm="1">
        <f t="array" aca="1" ref="H14" ca="1">-_xlfn.XLOOKUP(F14,INDIRECT("'Finanse 8.12.xlsx'!expenses_"&amp;$A$2&amp;"[Category]"),INDIRECT("'Finanse 8.12.xlsx'!expenses_"&amp;$A$2&amp;"[Total]"),0,0,1)</f>
        <v>80</v>
      </c>
      <c r="I14" s="4">
        <f t="shared" ref="I14:I21" ca="1" si="2">G14-H14</f>
        <v>120</v>
      </c>
      <c r="K14" s="2" t="s">
        <v>17</v>
      </c>
      <c r="L14" s="46">
        <f ca="1">DATE(2025,$A$2,15)</f>
        <v>45672</v>
      </c>
      <c r="M14" s="18">
        <v>80</v>
      </c>
      <c r="N14" s="18"/>
      <c r="P14" s="5" t="s">
        <v>14</v>
      </c>
      <c r="Q14" s="47">
        <f ca="1">DATE(2025,$A$2,24)</f>
        <v>45681</v>
      </c>
      <c r="R14" s="6">
        <v>33</v>
      </c>
      <c r="S14" s="6"/>
      <c r="U14" s="19" t="s">
        <v>40</v>
      </c>
      <c r="V14" s="20">
        <v>800</v>
      </c>
      <c r="W14" s="20"/>
    </row>
    <row r="15" spans="1:23" x14ac:dyDescent="0.4">
      <c r="A15" s="16" t="s">
        <v>30</v>
      </c>
      <c r="B15" s="17">
        <v>500</v>
      </c>
      <c r="C15" s="17" cm="1">
        <f t="array" aca="1" ref="C15" ca="1">_xlfn.XLOOKUP(A15,INDIRECT("'Finanse 8.12.xlsx'!incomes_"&amp;$A$2&amp;"[Category]"),INDIRECT("'Finanse 8.12.xlsx'!incomes_"&amp;$A$2&amp;"[Total]"),0,0,1)</f>
        <v>0</v>
      </c>
      <c r="D15" s="17">
        <f t="shared" ca="1" si="1"/>
        <v>-500</v>
      </c>
      <c r="F15" s="3" t="s">
        <v>23</v>
      </c>
      <c r="G15" s="4">
        <v>300</v>
      </c>
      <c r="H15" s="4" cm="1">
        <f t="array" aca="1" ref="H15" ca="1">-_xlfn.XLOOKUP(F15,INDIRECT("'Finanse 8.12.xlsx'!expenses_"&amp;$A$2&amp;"[Category]"),INDIRECT("'Finanse 8.12.xlsx'!expenses_"&amp;$A$2&amp;"[Total]"),0,0,1)</f>
        <v>85</v>
      </c>
      <c r="I15" s="4">
        <f t="shared" ca="1" si="2"/>
        <v>215</v>
      </c>
      <c r="K15" s="2" t="s">
        <v>20</v>
      </c>
      <c r="L15" s="46">
        <f t="shared" ref="L15:L16" ca="1" si="3">DATE(2025,$A$2,10)</f>
        <v>45667</v>
      </c>
      <c r="M15" s="18">
        <v>35</v>
      </c>
      <c r="N15" s="18"/>
      <c r="P15" s="5" t="s">
        <v>37</v>
      </c>
      <c r="Q15" s="47">
        <f ca="1">DATE(2025,$A$2,2)</f>
        <v>45659</v>
      </c>
      <c r="R15" s="6">
        <v>22.99</v>
      </c>
      <c r="S15" s="6"/>
      <c r="U15" s="19" t="s">
        <v>44</v>
      </c>
      <c r="V15" s="20"/>
      <c r="W15" s="20">
        <v>605</v>
      </c>
    </row>
    <row r="16" spans="1:23" x14ac:dyDescent="0.4">
      <c r="A16" s="16" t="s">
        <v>41</v>
      </c>
      <c r="B16" s="17">
        <v>100</v>
      </c>
      <c r="C16" s="17" cm="1">
        <f t="array" aca="1" ref="C16" ca="1">_xlfn.XLOOKUP(A16,INDIRECT("'Finanse 8.12.xlsx'!incomes_"&amp;$A$2&amp;"[Category]"),INDIRECT("'Finanse 8.12.xlsx'!incomes_"&amp;$A$2&amp;"[Total]"),0,0,1)</f>
        <v>800</v>
      </c>
      <c r="D16" s="17">
        <f t="shared" ca="1" si="1"/>
        <v>700</v>
      </c>
      <c r="F16" s="3" t="s">
        <v>16</v>
      </c>
      <c r="G16" s="4">
        <v>750</v>
      </c>
      <c r="H16" s="4" cm="1">
        <f t="array" aca="1" ref="H16" ca="1">-_xlfn.XLOOKUP(F16,INDIRECT("'Finanse 8.12.xlsx'!expenses_"&amp;$A$2&amp;"[Category]"),INDIRECT("'Finanse 8.12.xlsx'!expenses_"&amp;$A$2&amp;"[Total]"),0,0,1)</f>
        <v>1715</v>
      </c>
      <c r="I16" s="4">
        <f t="shared" ca="1" si="2"/>
        <v>-965</v>
      </c>
      <c r="K16" s="2" t="s">
        <v>19</v>
      </c>
      <c r="L16" s="46">
        <f t="shared" ca="1" si="3"/>
        <v>45667</v>
      </c>
      <c r="M16" s="18">
        <v>25</v>
      </c>
      <c r="N16" s="18"/>
      <c r="P16" s="5" t="s">
        <v>21</v>
      </c>
      <c r="Q16" s="47">
        <f ca="1">DATE(2025,$A$2,21)</f>
        <v>45678</v>
      </c>
      <c r="R16" s="6">
        <v>100</v>
      </c>
      <c r="S16" s="6"/>
      <c r="U16" s="19"/>
      <c r="V16" s="20"/>
      <c r="W16" s="20"/>
    </row>
    <row r="17" spans="1:23" x14ac:dyDescent="0.4">
      <c r="A17" s="16" t="s">
        <v>31</v>
      </c>
      <c r="B17" s="17">
        <v>1500</v>
      </c>
      <c r="C17" s="17" cm="1">
        <f t="array" aca="1" ref="C17" ca="1">_xlfn.XLOOKUP(A17,INDIRECT("'Finanse 8.12.xlsx'!incomes_"&amp;$A$2&amp;"[Category]"),INDIRECT("'Finanse 8.12.xlsx'!incomes_"&amp;$A$2&amp;"[Total]"),0,0,1)</f>
        <v>4500</v>
      </c>
      <c r="D17" s="17">
        <f t="shared" ca="1" si="1"/>
        <v>3000</v>
      </c>
      <c r="F17" s="3" t="s">
        <v>33</v>
      </c>
      <c r="G17" s="4">
        <v>130</v>
      </c>
      <c r="H17" s="4" cm="1">
        <f t="array" aca="1" ref="H17" ca="1">-_xlfn.XLOOKUP(F17,INDIRECT("'Finanse 8.12.xlsx'!expenses_"&amp;$A$2&amp;"[Category]"),INDIRECT("'Finanse 8.12.xlsx'!expenses_"&amp;$A$2&amp;"[Total]"),0,0,1)</f>
        <v>100</v>
      </c>
      <c r="I17" s="4">
        <f t="shared" ca="1" si="2"/>
        <v>30</v>
      </c>
      <c r="K17" s="2" t="s">
        <v>22</v>
      </c>
      <c r="L17" s="46">
        <f ca="1">DATE(2025,$A$2,28)</f>
        <v>45685</v>
      </c>
      <c r="M17" s="18">
        <v>35</v>
      </c>
      <c r="N17" s="18"/>
      <c r="P17" s="5" t="s">
        <v>38</v>
      </c>
      <c r="Q17" s="47">
        <f ca="1">DATE(2025,$A$2,12)</f>
        <v>45669</v>
      </c>
      <c r="R17" s="6">
        <v>42.69</v>
      </c>
      <c r="S17" s="6"/>
      <c r="U17" s="19"/>
      <c r="V17" s="20"/>
      <c r="W17" s="20"/>
    </row>
    <row r="18" spans="1:23" x14ac:dyDescent="0.4">
      <c r="A18" s="16" t="s">
        <v>15</v>
      </c>
      <c r="B18" s="17">
        <v>800</v>
      </c>
      <c r="C18" s="17" cm="1">
        <f t="array" aca="1" ref="C18" ca="1">_xlfn.XLOOKUP(A18,INDIRECT("'Finanse 8.12.xlsx'!incomes_"&amp;$A$2&amp;"[Category]"),INDIRECT("'Finanse 8.12.xlsx'!incomes_"&amp;$A$2&amp;"[Total]"),0,0,1)</f>
        <v>0</v>
      </c>
      <c r="D18" s="17">
        <f t="shared" ca="1" si="1"/>
        <v>-800</v>
      </c>
      <c r="F18" s="3" t="s">
        <v>34</v>
      </c>
      <c r="G18" s="4">
        <v>130</v>
      </c>
      <c r="H18" s="4" cm="1">
        <f t="array" aca="1" ref="H18" ca="1">-_xlfn.XLOOKUP(F18,INDIRECT("'Finanse 8.12.xlsx'!expenses_"&amp;$A$2&amp;"[Category]"),INDIRECT("'Finanse 8.12.xlsx'!expenses_"&amp;$A$2&amp;"[Total]"),0,0,1)</f>
        <v>150</v>
      </c>
      <c r="I18" s="4">
        <f t="shared" ca="1" si="2"/>
        <v>-20</v>
      </c>
      <c r="K18" s="2" t="s">
        <v>24</v>
      </c>
      <c r="L18" s="46">
        <f ca="1">DATE(2025,$A$2,20)</f>
        <v>45677</v>
      </c>
      <c r="M18" s="18">
        <v>60</v>
      </c>
      <c r="N18" s="18"/>
      <c r="P18" s="5"/>
      <c r="Q18" s="5"/>
      <c r="R18" s="6"/>
      <c r="S18" s="6"/>
      <c r="U18" s="19"/>
      <c r="V18" s="20"/>
      <c r="W18" s="20"/>
    </row>
    <row r="19" spans="1:23" x14ac:dyDescent="0.4">
      <c r="A19" s="16"/>
      <c r="B19" s="17"/>
      <c r="C19" s="17"/>
      <c r="D19" s="17"/>
      <c r="E19" s="7"/>
      <c r="F19" s="3" t="s">
        <v>43</v>
      </c>
      <c r="G19" s="4">
        <v>200</v>
      </c>
      <c r="H19" s="4" cm="1">
        <f t="array" aca="1" ref="H19" ca="1">-_xlfn.XLOOKUP(F19,INDIRECT("'Finanse 8.12.xlsx'!expenses_"&amp;$A$2&amp;"[Category]"),INDIRECT("'Finanse 8.12.xlsx'!expenses_"&amp;$A$2&amp;"[Total]"),0,0,1)</f>
        <v>500</v>
      </c>
      <c r="I19" s="4">
        <f t="shared" ca="1" si="2"/>
        <v>-300</v>
      </c>
      <c r="K19" s="2"/>
      <c r="L19" s="2"/>
      <c r="M19" s="18"/>
      <c r="N19" s="18"/>
      <c r="P19" s="5"/>
      <c r="Q19" s="5"/>
      <c r="R19" s="6"/>
      <c r="S19" s="6"/>
      <c r="U19" s="19"/>
      <c r="V19" s="20"/>
      <c r="W19" s="20"/>
    </row>
    <row r="20" spans="1:23" x14ac:dyDescent="0.4">
      <c r="A20" s="16"/>
      <c r="B20" s="17"/>
      <c r="C20" s="17"/>
      <c r="D20" s="17"/>
      <c r="F20" s="3" t="s">
        <v>35</v>
      </c>
      <c r="G20" s="4">
        <v>200</v>
      </c>
      <c r="H20" s="4" cm="1">
        <f t="array" aca="1" ref="H20" ca="1">-_xlfn.XLOOKUP(F20,INDIRECT("'Finanse 8.12.xlsx'!expenses_"&amp;$A$2&amp;"[Category]"),INDIRECT("'Finanse 8.12.xlsx'!expenses_"&amp;$A$2&amp;"[Total]"),0,0,1)</f>
        <v>100</v>
      </c>
      <c r="I20" s="4">
        <f t="shared" ca="1" si="2"/>
        <v>100</v>
      </c>
      <c r="K20" s="2"/>
      <c r="L20" s="2"/>
      <c r="M20" s="18"/>
      <c r="N20" s="18"/>
      <c r="P20" s="5"/>
      <c r="Q20" s="5"/>
      <c r="R20" s="6"/>
      <c r="S20" s="6"/>
      <c r="U20" s="19"/>
      <c r="V20" s="20"/>
      <c r="W20" s="20"/>
    </row>
    <row r="21" spans="1:23" x14ac:dyDescent="0.4">
      <c r="A21" s="16"/>
      <c r="B21" s="17"/>
      <c r="C21" s="17"/>
      <c r="D21" s="17"/>
      <c r="F21" s="3" t="s">
        <v>36</v>
      </c>
      <c r="G21" s="4">
        <v>150</v>
      </c>
      <c r="H21" s="4" cm="1">
        <f t="array" aca="1" ref="H21" ca="1">-_xlfn.XLOOKUP(F21,INDIRECT("'Finanse 8.12.xlsx'!expenses_"&amp;$A$2&amp;"[Category]"),INDIRECT("'Finanse 8.12.xlsx'!expenses_"&amp;$A$2&amp;"[Total]"),0,0,1)</f>
        <v>80</v>
      </c>
      <c r="I21" s="4">
        <f t="shared" ca="1" si="2"/>
        <v>70</v>
      </c>
      <c r="K21" s="2"/>
      <c r="L21" s="2"/>
      <c r="M21" s="18"/>
      <c r="N21" s="18"/>
      <c r="P21" s="5"/>
      <c r="Q21" s="5"/>
      <c r="R21" s="6"/>
      <c r="S21" s="6"/>
      <c r="U21" s="19"/>
      <c r="V21" s="20"/>
      <c r="W21" s="20"/>
    </row>
    <row r="22" spans="1:23" x14ac:dyDescent="0.4">
      <c r="A22" s="16"/>
      <c r="B22" s="17"/>
      <c r="C22" s="17"/>
      <c r="D22" s="17"/>
      <c r="F22" s="3"/>
      <c r="G22" s="4"/>
      <c r="H22" s="4"/>
      <c r="I22" s="4"/>
      <c r="K22" s="2"/>
      <c r="L22" s="2"/>
      <c r="M22" s="18"/>
      <c r="N22" s="18"/>
      <c r="P22" s="5"/>
      <c r="Q22" s="5"/>
      <c r="R22" s="6"/>
      <c r="S22" s="6"/>
      <c r="U22" s="19"/>
      <c r="V22" s="20"/>
      <c r="W22" s="20"/>
    </row>
    <row r="23" spans="1:23" x14ac:dyDescent="0.4">
      <c r="A23" s="16"/>
      <c r="B23" s="17"/>
      <c r="C23" s="17"/>
      <c r="D23" s="17"/>
      <c r="F23" s="3"/>
      <c r="G23" s="4"/>
      <c r="H23" s="4"/>
      <c r="I23" s="4"/>
      <c r="K23" s="2"/>
      <c r="L23" s="2"/>
      <c r="M23" s="18"/>
      <c r="N23" s="18"/>
      <c r="P23" s="5"/>
      <c r="Q23" s="5"/>
      <c r="R23" s="6"/>
      <c r="S23" s="6"/>
      <c r="U23" s="19"/>
      <c r="V23" s="20"/>
      <c r="W23" s="20"/>
    </row>
    <row r="24" spans="1:23" x14ac:dyDescent="0.4">
      <c r="A24" s="16"/>
      <c r="B24" s="17"/>
      <c r="C24" s="17"/>
      <c r="D24" s="17"/>
      <c r="F24" s="3"/>
      <c r="G24" s="4"/>
      <c r="H24" s="4"/>
      <c r="I24" s="4"/>
      <c r="K24" s="2"/>
      <c r="L24" s="2"/>
      <c r="M24" s="18"/>
      <c r="N24" s="18"/>
      <c r="P24" s="5"/>
      <c r="Q24" s="5"/>
      <c r="R24" s="6"/>
      <c r="S24" s="6"/>
      <c r="U24" s="19"/>
      <c r="V24" s="20"/>
      <c r="W24" s="20"/>
    </row>
    <row r="25" spans="1:23" x14ac:dyDescent="0.4">
      <c r="A25" s="16"/>
      <c r="B25" s="17"/>
      <c r="C25" s="17"/>
      <c r="D25" s="17"/>
      <c r="F25" s="3"/>
      <c r="G25" s="4"/>
      <c r="H25" s="4"/>
      <c r="I25" s="4"/>
      <c r="K25" s="2"/>
      <c r="L25" s="2"/>
      <c r="M25" s="18"/>
      <c r="N25" s="18"/>
      <c r="P25" s="5"/>
      <c r="Q25" s="5"/>
      <c r="R25" s="6"/>
      <c r="S25" s="6"/>
      <c r="U25" s="19"/>
      <c r="V25" s="20"/>
      <c r="W25" s="20"/>
    </row>
    <row r="26" spans="1:23" x14ac:dyDescent="0.4">
      <c r="A26" s="16"/>
      <c r="B26" s="17"/>
      <c r="C26" s="17"/>
      <c r="D26" s="17"/>
      <c r="F26" s="3"/>
      <c r="G26" s="4"/>
      <c r="H26" s="4"/>
      <c r="I26" s="4"/>
      <c r="K26" s="2"/>
      <c r="L26" s="2"/>
      <c r="M26" s="18"/>
      <c r="N26" s="18"/>
      <c r="P26" s="5"/>
      <c r="Q26" s="5"/>
      <c r="R26" s="6"/>
      <c r="S26" s="6"/>
      <c r="U26" s="19"/>
      <c r="V26" s="20"/>
      <c r="W26" s="20"/>
    </row>
    <row r="27" spans="1:23" x14ac:dyDescent="0.4">
      <c r="A27" s="21" t="s">
        <v>25</v>
      </c>
      <c r="B27" s="22">
        <f>SUM(B13:B26)</f>
        <v>5700</v>
      </c>
      <c r="C27" s="22">
        <f ca="1">SUM(C13:C26)</f>
        <v>5655.5</v>
      </c>
      <c r="D27" s="22">
        <f ca="1">SUM(D13:D26)</f>
        <v>-44.5</v>
      </c>
      <c r="F27" s="9" t="s">
        <v>25</v>
      </c>
      <c r="G27" s="10">
        <f>SUM(G13:G26)</f>
        <v>3795</v>
      </c>
      <c r="H27" s="10">
        <f ca="1">SUM(H13:H26)</f>
        <v>4810</v>
      </c>
      <c r="I27" s="10">
        <f ca="1">SUM(I13:I26)</f>
        <v>-1015</v>
      </c>
      <c r="K27" s="8" t="s">
        <v>25</v>
      </c>
      <c r="L27" s="8"/>
      <c r="M27" s="23">
        <f>SUM(M13:M26)</f>
        <v>1735</v>
      </c>
      <c r="N27" s="23">
        <f>SUM(N13:N26)</f>
        <v>0</v>
      </c>
      <c r="P27" s="11" t="s">
        <v>25</v>
      </c>
      <c r="Q27" s="11"/>
      <c r="R27" s="12">
        <f>SUM(R13:R26)</f>
        <v>211.67000000000002</v>
      </c>
      <c r="S27" s="12">
        <f>SUM(S13:S26)</f>
        <v>0</v>
      </c>
      <c r="U27" s="24" t="s">
        <v>25</v>
      </c>
      <c r="V27" s="25">
        <f>SUM(V13:V26)</f>
        <v>1300</v>
      </c>
      <c r="W27" s="25">
        <f>SUM(W13:W26)</f>
        <v>605</v>
      </c>
    </row>
  </sheetData>
  <mergeCells count="7">
    <mergeCell ref="P11:S11"/>
    <mergeCell ref="U11:W11"/>
    <mergeCell ref="F11:I11"/>
    <mergeCell ref="A1:D1"/>
    <mergeCell ref="A2:D2"/>
    <mergeCell ref="A11:D11"/>
    <mergeCell ref="K11:N11"/>
  </mergeCells>
  <pageMargins left="0.7" right="0.7" top="0.75" bottom="0.75" header="0.3" footer="0.3"/>
  <ignoredErrors>
    <ignoredError sqref="L14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Maja Abuhasna</dc:creator>
  <cp:keywords/>
  <dc:description/>
  <cp:lastModifiedBy>en-A301-08</cp:lastModifiedBy>
  <cp:revision/>
  <dcterms:created xsi:type="dcterms:W3CDTF">2025-10-31T12:46:44Z</dcterms:created>
  <dcterms:modified xsi:type="dcterms:W3CDTF">2025-12-12T13:42:23Z</dcterms:modified>
  <cp:category/>
  <cp:contentStatus/>
</cp:coreProperties>
</file>