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uha\Desktop\studia\bdp\19.12\"/>
    </mc:Choice>
  </mc:AlternateContent>
  <xr:revisionPtr revIDLastSave="0" documentId="13_ncr:1_{DA7BFEE6-D50A-49D0-8195-DB3AF7BBAD1E}" xr6:coauthVersionLast="47" xr6:coauthVersionMax="47" xr10:uidLastSave="{00000000-0000-0000-0000-000000000000}"/>
  <bookViews>
    <workbookView xWindow="-120" yWindow="-120" windowWidth="38640" windowHeight="21120" xr2:uid="{1350B4C1-6FA8-4F8D-9418-F675D7B2477F}"/>
  </bookViews>
  <sheets>
    <sheet name="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7" i="1" l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W27" i="1"/>
  <c r="V27" i="1"/>
  <c r="R27" i="1"/>
  <c r="S27" i="1"/>
  <c r="M27" i="1"/>
  <c r="N27" i="1"/>
  <c r="G27" i="1"/>
  <c r="B27" i="1"/>
  <c r="C7" i="1" a="1"/>
  <c r="D7" i="1" a="1"/>
  <c r="B6" i="1" a="1"/>
  <c r="B7" i="1" a="1"/>
  <c r="B5" i="1" a="1"/>
  <c r="D7" i="1" l="1"/>
  <c r="C7" i="1"/>
  <c r="B7" i="1"/>
  <c r="B6" i="1"/>
  <c r="B5" i="1"/>
  <c r="A2" i="1" l="1" a="1"/>
  <c r="A2" i="1" s="1"/>
  <c r="Q17" i="1" s="1"/>
  <c r="Q16" i="1" l="1"/>
  <c r="Q15" i="1"/>
  <c r="Q14" i="1"/>
  <c r="Q13" i="1"/>
  <c r="L18" i="1"/>
  <c r="L14" i="1"/>
  <c r="L17" i="1"/>
  <c r="L13" i="1"/>
  <c r="L15" i="1"/>
  <c r="L16" i="1"/>
  <c r="C15" i="1" a="1"/>
  <c r="C14" i="1" a="1"/>
  <c r="C17" i="1" a="1"/>
  <c r="C16" i="1" a="1"/>
  <c r="H13" i="1" a="1"/>
  <c r="H17" i="1" a="1"/>
  <c r="C18" i="1" a="1"/>
  <c r="H14" i="1" a="1"/>
  <c r="H20" i="1" a="1"/>
  <c r="H21" i="1" a="1"/>
  <c r="H16" i="1" a="1"/>
  <c r="H18" i="1" a="1"/>
  <c r="H19" i="1" a="1"/>
  <c r="H15" i="1" a="1"/>
  <c r="C13" i="1" a="1"/>
  <c r="C13" i="1" l="1"/>
  <c r="H13" i="1"/>
  <c r="H21" i="1"/>
  <c r="I21" i="1" s="1"/>
  <c r="H17" i="1"/>
  <c r="I17" i="1" s="1"/>
  <c r="H18" i="1"/>
  <c r="I18" i="1" s="1"/>
  <c r="H16" i="1"/>
  <c r="I16" i="1" s="1"/>
  <c r="H20" i="1"/>
  <c r="I20" i="1" s="1"/>
  <c r="H15" i="1"/>
  <c r="I15" i="1" s="1"/>
  <c r="H19" i="1"/>
  <c r="I19" i="1" s="1"/>
  <c r="H14" i="1"/>
  <c r="I14" i="1" s="1"/>
  <c r="C15" i="1"/>
  <c r="D15" i="1" s="1"/>
  <c r="C18" i="1"/>
  <c r="D18" i="1" s="1"/>
  <c r="C16" i="1"/>
  <c r="D16" i="1" s="1"/>
  <c r="C17" i="1"/>
  <c r="D17" i="1" s="1"/>
  <c r="C14" i="1"/>
  <c r="D14" i="1" s="1"/>
  <c r="C27" i="1" l="1"/>
  <c r="I13" i="1"/>
  <c r="H27" i="1"/>
  <c r="I27" i="1"/>
  <c r="D13" i="1"/>
  <c r="D27" i="1" s="1"/>
  <c r="B9" i="1"/>
  <c r="D6" i="1" a="1"/>
  <c r="C6" i="1" a="1"/>
  <c r="C5" i="1" a="1"/>
  <c r="D5" i="1" a="1"/>
  <c r="C6" i="1" l="1"/>
  <c r="D6" i="1"/>
  <c r="D5" i="1"/>
  <c r="D9" i="1" s="1"/>
  <c r="C5" i="1"/>
  <c r="C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<sst xmlns="http://schemas.openxmlformats.org/spreadsheetml/2006/main" count="67" uniqueCount="47">
  <si>
    <t>Incomes</t>
  </si>
  <si>
    <t>Expenses</t>
  </si>
  <si>
    <t>Bills</t>
  </si>
  <si>
    <t>Subscriptions</t>
  </si>
  <si>
    <t>Savings</t>
  </si>
  <si>
    <t>Source</t>
  </si>
  <si>
    <t>Planned</t>
  </si>
  <si>
    <t>Actual</t>
  </si>
  <si>
    <t>Category</t>
  </si>
  <si>
    <t>Bill</t>
  </si>
  <si>
    <t>Service</t>
  </si>
  <si>
    <t>Aim</t>
  </si>
  <si>
    <t>Allowance</t>
  </si>
  <si>
    <t>Rent</t>
  </si>
  <si>
    <t>Netflix</t>
  </si>
  <si>
    <t>Scholarship</t>
  </si>
  <si>
    <t>Groceries</t>
  </si>
  <si>
    <t>Electricity</t>
  </si>
  <si>
    <t>Spotify</t>
  </si>
  <si>
    <t>Gas</t>
  </si>
  <si>
    <t>Water</t>
  </si>
  <si>
    <t>ChatGPT</t>
  </si>
  <si>
    <t>Waste</t>
  </si>
  <si>
    <t>Entertainment</t>
  </si>
  <si>
    <t>Internet</t>
  </si>
  <si>
    <t>Month</t>
  </si>
  <si>
    <t>Left</t>
  </si>
  <si>
    <t>Balance</t>
  </si>
  <si>
    <t>Financial</t>
  </si>
  <si>
    <t>Gift</t>
  </si>
  <si>
    <t>Salary</t>
  </si>
  <si>
    <t>Clothing</t>
  </si>
  <si>
    <t>Health&amp;Beauty</t>
  </si>
  <si>
    <t>Multimedia</t>
  </si>
  <si>
    <t>Studies</t>
  </si>
  <si>
    <t>Transportation</t>
  </si>
  <si>
    <t>Bookbeat</t>
  </si>
  <si>
    <t>Duolingo</t>
  </si>
  <si>
    <t>Laptop</t>
  </si>
  <si>
    <t>Summer holidays</t>
  </si>
  <si>
    <t>Other incoms</t>
  </si>
  <si>
    <t>Accomodation</t>
  </si>
  <si>
    <t>Other expences</t>
  </si>
  <si>
    <t>Rainy day</t>
  </si>
  <si>
    <t>Due</t>
  </si>
  <si>
    <t>Total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</si>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</sst>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* #,##0.00\ &quot;zł&quot;_-;\-* #,##0.00\ &quot;zł&quot;_-;_-* &quot;-&quot;??\ &quot;zł&quot;_-;_-@_-"/>
    <numFmt numFmtId="164" formatCode="_-* #,##0.00\ [$zł-415]_-;\-* #,##0.00\ [$zł-415]_-;_-* &quot;-&quot;??\ [$zł-415]_-;_-@_-"/>
  </numFmts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4"/>
      <color theme="1"/>
      <name val="Comic Sans MS"/>
      <family val="4"/>
      <charset val="238"/>
    </font>
    <font>
      <sz val="14"/>
      <color theme="7" tint="0.79998168889431442"/>
      <name val="Comic Sans MS"/>
      <family val="4"/>
      <charset val="238"/>
    </font>
    <font>
      <sz val="14"/>
      <color theme="0"/>
      <name val="Comic Sans MS"/>
      <family val="4"/>
      <charset val="238"/>
    </font>
    <font>
      <sz val="14"/>
      <color rgb="FFFF0000"/>
      <name val="Comic Sans MS"/>
      <family val="4"/>
      <charset val="238"/>
    </font>
    <font>
      <b/>
      <sz val="14"/>
      <color theme="0"/>
      <name val="Comic Sans MS"/>
      <family val="4"/>
      <charset val="238"/>
    </font>
  </fonts>
  <fills count="1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2" fillId="2" borderId="1" xfId="0" applyFont="1" applyFill="1" applyBorder="1"/>
    <xf numFmtId="164" fontId="2" fillId="3" borderId="1" xfId="1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3" fillId="0" borderId="0" xfId="0" applyFont="1"/>
    <xf numFmtId="164" fontId="2" fillId="11" borderId="1" xfId="0" applyNumberFormat="1" applyFont="1" applyFill="1" applyBorder="1"/>
    <xf numFmtId="164" fontId="2" fillId="2" borderId="1" xfId="1" applyNumberFormat="1" applyFont="1" applyFill="1" applyBorder="1"/>
    <xf numFmtId="164" fontId="2" fillId="12" borderId="1" xfId="0" applyNumberFormat="1" applyFont="1" applyFill="1" applyBorder="1"/>
    <xf numFmtId="164" fontId="4" fillId="14" borderId="1" xfId="0" applyNumberFormat="1" applyFont="1" applyFill="1" applyBorder="1"/>
    <xf numFmtId="0" fontId="2" fillId="16" borderId="1" xfId="0" applyFont="1" applyFill="1" applyBorder="1"/>
    <xf numFmtId="0" fontId="4" fillId="0" borderId="0" xfId="0" applyFont="1"/>
    <xf numFmtId="0" fontId="2" fillId="0" borderId="2" xfId="0" applyFont="1" applyBorder="1"/>
    <xf numFmtId="14" fontId="5" fillId="2" borderId="1" xfId="0" applyNumberFormat="1" applyFont="1" applyFill="1" applyBorder="1"/>
    <xf numFmtId="14" fontId="5" fillId="4" borderId="1" xfId="0" applyNumberFormat="1" applyFont="1" applyFill="1" applyBorder="1"/>
    <xf numFmtId="0" fontId="4" fillId="7" borderId="1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14" borderId="2" xfId="0" applyFont="1" applyFill="1" applyBorder="1" applyAlignment="1">
      <alignment horizontal="center"/>
    </xf>
    <xf numFmtId="0" fontId="4" fillId="14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4" fillId="13" borderId="2" xfId="0" applyFont="1" applyFill="1" applyBorder="1" applyAlignment="1">
      <alignment horizontal="center"/>
    </xf>
    <xf numFmtId="0" fontId="4" fillId="13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2" fillId="11" borderId="5" xfId="0" applyFont="1" applyFill="1" applyBorder="1"/>
    <xf numFmtId="164" fontId="2" fillId="11" borderId="3" xfId="0" applyNumberFormat="1" applyFont="1" applyFill="1" applyBorder="1"/>
    <xf numFmtId="0" fontId="2" fillId="11" borderId="9" xfId="0" applyFont="1" applyFill="1" applyBorder="1"/>
    <xf numFmtId="164" fontId="2" fillId="11" borderId="10" xfId="0" applyNumberFormat="1" applyFont="1" applyFill="1" applyBorder="1"/>
    <xf numFmtId="164" fontId="2" fillId="11" borderId="11" xfId="0" applyNumberFormat="1" applyFont="1" applyFill="1" applyBorder="1"/>
    <xf numFmtId="0" fontId="2" fillId="3" borderId="5" xfId="0" applyFont="1" applyFill="1" applyBorder="1"/>
    <xf numFmtId="164" fontId="2" fillId="3" borderId="3" xfId="1" applyNumberFormat="1" applyFont="1" applyFill="1" applyBorder="1"/>
    <xf numFmtId="0" fontId="2" fillId="9" borderId="6" xfId="0" applyFont="1" applyFill="1" applyBorder="1"/>
    <xf numFmtId="0" fontId="2" fillId="9" borderId="7" xfId="0" applyFont="1" applyFill="1" applyBorder="1"/>
    <xf numFmtId="0" fontId="2" fillId="9" borderId="8" xfId="0" applyFont="1" applyFill="1" applyBorder="1"/>
    <xf numFmtId="0" fontId="2" fillId="3" borderId="9" xfId="0" applyFont="1" applyFill="1" applyBorder="1"/>
    <xf numFmtId="164" fontId="2" fillId="3" borderId="10" xfId="1" applyNumberFormat="1" applyFont="1" applyFill="1" applyBorder="1"/>
    <xf numFmtId="164" fontId="2" fillId="3" borderId="11" xfId="1" applyNumberFormat="1" applyFont="1" applyFill="1" applyBorder="1"/>
    <xf numFmtId="0" fontId="2" fillId="2" borderId="5" xfId="0" applyFont="1" applyFill="1" applyBorder="1"/>
    <xf numFmtId="164" fontId="2" fillId="2" borderId="3" xfId="1" applyNumberFormat="1" applyFont="1" applyFill="1" applyBorder="1"/>
    <xf numFmtId="0" fontId="2" fillId="8" borderId="6" xfId="0" applyFont="1" applyFill="1" applyBorder="1"/>
    <xf numFmtId="0" fontId="2" fillId="8" borderId="7" xfId="0" applyFont="1" applyFill="1" applyBorder="1"/>
    <xf numFmtId="0" fontId="2" fillId="8" borderId="8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164" fontId="2" fillId="2" borderId="10" xfId="1" applyNumberFormat="1" applyFont="1" applyFill="1" applyBorder="1"/>
    <xf numFmtId="164" fontId="2" fillId="2" borderId="11" xfId="1" applyNumberFormat="1" applyFont="1" applyFill="1" applyBorder="1"/>
    <xf numFmtId="0" fontId="2" fillId="4" borderId="5" xfId="0" applyFont="1" applyFill="1" applyBorder="1"/>
    <xf numFmtId="164" fontId="2" fillId="4" borderId="3" xfId="0" applyNumberFormat="1" applyFont="1" applyFill="1" applyBorder="1"/>
    <xf numFmtId="0" fontId="2" fillId="10" borderId="6" xfId="0" applyFont="1" applyFill="1" applyBorder="1"/>
    <xf numFmtId="0" fontId="2" fillId="10" borderId="7" xfId="0" applyFont="1" applyFill="1" applyBorder="1"/>
    <xf numFmtId="0" fontId="2" fillId="10" borderId="8" xfId="0" applyFont="1" applyFill="1" applyBorder="1"/>
    <xf numFmtId="0" fontId="2" fillId="4" borderId="9" xfId="0" applyFont="1" applyFill="1" applyBorder="1"/>
    <xf numFmtId="0" fontId="2" fillId="4" borderId="10" xfId="0" applyFont="1" applyFill="1" applyBorder="1"/>
    <xf numFmtId="164" fontId="2" fillId="4" borderId="10" xfId="0" applyNumberFormat="1" applyFont="1" applyFill="1" applyBorder="1"/>
    <xf numFmtId="164" fontId="2" fillId="4" borderId="11" xfId="0" applyNumberFormat="1" applyFont="1" applyFill="1" applyBorder="1"/>
    <xf numFmtId="0" fontId="2" fillId="12" borderId="5" xfId="0" applyFont="1" applyFill="1" applyBorder="1"/>
    <xf numFmtId="164" fontId="2" fillId="12" borderId="3" xfId="0" applyNumberFormat="1" applyFont="1" applyFill="1" applyBorder="1"/>
    <xf numFmtId="0" fontId="2" fillId="16" borderId="6" xfId="0" applyFont="1" applyFill="1" applyBorder="1"/>
    <xf numFmtId="0" fontId="2" fillId="16" borderId="7" xfId="0" applyFont="1" applyFill="1" applyBorder="1"/>
    <xf numFmtId="0" fontId="2" fillId="16" borderId="8" xfId="0" applyFont="1" applyFill="1" applyBorder="1"/>
    <xf numFmtId="0" fontId="2" fillId="12" borderId="9" xfId="0" applyFont="1" applyFill="1" applyBorder="1"/>
    <xf numFmtId="164" fontId="2" fillId="12" borderId="10" xfId="0" applyNumberFormat="1" applyFont="1" applyFill="1" applyBorder="1"/>
    <xf numFmtId="164" fontId="2" fillId="12" borderId="11" xfId="0" applyNumberFormat="1" applyFont="1" applyFill="1" applyBorder="1"/>
    <xf numFmtId="0" fontId="6" fillId="15" borderId="6" xfId="0" applyFont="1" applyFill="1" applyBorder="1"/>
    <xf numFmtId="0" fontId="6" fillId="15" borderId="7" xfId="0" applyFont="1" applyFill="1" applyBorder="1"/>
    <xf numFmtId="0" fontId="6" fillId="15" borderId="8" xfId="0" applyFont="1" applyFill="1" applyBorder="1"/>
    <xf numFmtId="0" fontId="4" fillId="14" borderId="0" xfId="0" applyFont="1" applyFill="1" applyBorder="1" applyAlignment="1">
      <alignment horizontal="center"/>
    </xf>
    <xf numFmtId="0" fontId="4" fillId="6" borderId="9" xfId="0" applyFont="1" applyFill="1" applyBorder="1"/>
    <xf numFmtId="164" fontId="4" fillId="6" borderId="10" xfId="0" applyNumberFormat="1" applyFont="1" applyFill="1" applyBorder="1"/>
    <xf numFmtId="164" fontId="4" fillId="6" borderId="11" xfId="0" applyNumberFormat="1" applyFont="1" applyFill="1" applyBorder="1"/>
    <xf numFmtId="0" fontId="6" fillId="13" borderId="9" xfId="0" applyFont="1" applyFill="1" applyBorder="1"/>
    <xf numFmtId="164" fontId="6" fillId="13" borderId="10" xfId="0" applyNumberFormat="1" applyFont="1" applyFill="1" applyBorder="1"/>
    <xf numFmtId="164" fontId="6" fillId="13" borderId="11" xfId="0" applyNumberFormat="1" applyFont="1" applyFill="1" applyBorder="1"/>
    <xf numFmtId="0" fontId="4" fillId="5" borderId="9" xfId="0" applyFont="1" applyFill="1" applyBorder="1"/>
    <xf numFmtId="0" fontId="4" fillId="5" borderId="10" xfId="0" applyFont="1" applyFill="1" applyBorder="1"/>
    <xf numFmtId="164" fontId="4" fillId="5" borderId="10" xfId="0" applyNumberFormat="1" applyFont="1" applyFill="1" applyBorder="1"/>
    <xf numFmtId="0" fontId="4" fillId="5" borderId="11" xfId="0" applyNumberFormat="1" applyFont="1" applyFill="1" applyBorder="1"/>
    <xf numFmtId="0" fontId="4" fillId="7" borderId="9" xfId="0" applyFont="1" applyFill="1" applyBorder="1"/>
    <xf numFmtId="0" fontId="4" fillId="7" borderId="10" xfId="0" applyFont="1" applyFill="1" applyBorder="1"/>
    <xf numFmtId="164" fontId="4" fillId="7" borderId="10" xfId="0" applyNumberFormat="1" applyFont="1" applyFill="1" applyBorder="1"/>
    <xf numFmtId="0" fontId="4" fillId="7" borderId="11" xfId="0" applyFont="1" applyFill="1" applyBorder="1"/>
    <xf numFmtId="0" fontId="4" fillId="14" borderId="9" xfId="0" applyFont="1" applyFill="1" applyBorder="1"/>
    <xf numFmtId="164" fontId="4" fillId="14" borderId="10" xfId="0" applyNumberFormat="1" applyFont="1" applyFill="1" applyBorder="1"/>
    <xf numFmtId="164" fontId="4" fillId="14" borderId="11" xfId="0" applyNumberFormat="1" applyFont="1" applyFill="1" applyBorder="1"/>
  </cellXfs>
  <cellStyles count="2">
    <cellStyle name="Currency" xfId="1" builtinId="4"/>
    <cellStyle name="Normal" xfId="0" builtinId="0"/>
  </cellStyles>
  <dxfs count="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8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numFmt numFmtId="164" formatCode="_-* #,##0.00\ [$zł-415]_-;\-* #,##0.00\ [$zł-415]_-;_-* &quot;-&quot;??\ [$zł-415]_-;_-@_-"/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8" tint="-0.249977111117893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4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4" tint="-0.249977111117893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color theme="0"/>
      </font>
      <fill>
        <patternFill patternType="solid">
          <fgColor indexed="64"/>
          <bgColor theme="8" tint="-0.249977111117893"/>
        </patternFill>
      </fill>
    </dxf>
    <dxf>
      <font>
        <strike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7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7" tint="-0.249977111117893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numFmt numFmtId="0" formatCode="General"/>
      <fill>
        <patternFill patternType="solid">
          <fgColor indexed="64"/>
          <bgColor theme="6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6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6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6" tint="-0.249977111117893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4" tint="-0.249977111117893"/>
        </patternFill>
      </fill>
    </dxf>
    <dxf>
      <font>
        <strike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5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5" tint="-0.249977111117893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5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5" tint="-0.249977111117893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5" tint="-0.249977111117893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omic Sans MS"/>
        <family val="4"/>
        <charset val="238"/>
        <scheme val="none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8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fill>
        <patternFill patternType="solid">
          <fgColor indexed="64"/>
          <bgColor theme="8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fill>
        <patternFill patternType="solid">
          <fgColor indexed="64"/>
          <bgColor theme="7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fill>
        <patternFill patternType="solid">
          <fgColor indexed="64"/>
          <bgColor theme="7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fill>
        <patternFill patternType="solid"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fill>
        <patternFill patternType="solid">
          <fgColor indexed="64"/>
          <bgColor theme="6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5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fill>
        <patternFill patternType="solid">
          <fgColor indexed="64"/>
          <bgColor theme="5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</font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fill>
        <patternFill patternType="solid">
          <fgColor indexed="64"/>
          <bgColor theme="4" tint="0.79998168889431442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mic Sans MS"/>
        <family val="4"/>
        <charset val="238"/>
        <scheme val="none"/>
      </font>
      <numFmt numFmtId="164" formatCode="_-* #,##0.00\ [$zł-415]_-;\-* #,##0.00\ [$zł-415]_-;_-* &quot;-&quot;??\ [$zł-415]_-;_-@_-"/>
      <fill>
        <patternFill patternType="solid">
          <fgColor indexed="64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color theme="5" tint="0.39994506668294322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dotted">
          <color auto="1"/>
        </vertical>
        <horizontal style="dotted">
          <color auto="1"/>
        </horizontal>
      </border>
    </dxf>
  </dxfs>
  <tableStyles count="2" defaultTableStyle="TableStyleMedium2" defaultPivotStyle="PivotStyleLight16">
    <tableStyle name="Table Style" pivot="0" count="1" xr9:uid="{9186B6AD-1665-4F74-9CF2-F839F38C8769}">
      <tableStyleElement type="wholeTable" dxfId="66"/>
    </tableStyle>
    <tableStyle name="Table Style Mine" pivot="0" count="1" xr9:uid="{24B62284-CFD2-4A14-AE2B-17A7B7FDD7B4}">
      <tableStyleElement type="wholeTable" dxfId="5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Planned</c:v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'1'!$B$5:$B$7</c:f>
              <c:numCache>
                <c:formatCode>_-* #\ ##0.00\ [$zł-415]_-;\-* #\ ##0.00\ [$zł-415]_-;_-* "-"??\ [$zł-415]_-;_-@_-</c:formatCode>
                <c:ptCount val="3"/>
                <c:pt idx="0">
                  <c:v>5700</c:v>
                </c:pt>
                <c:pt idx="1">
                  <c:v>3795</c:v>
                </c:pt>
                <c:pt idx="2">
                  <c:v>1905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C8-4A7E-8CE5-C769EA05239E}"/>
            </c:ext>
          </c:extLst>
        </c:ser>
        <c:ser>
          <c:idx val="1"/>
          <c:order val="1"/>
          <c:tx>
            <c:v>Actual</c:v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'1'!$C$5:$C$7</c:f>
              <c:numCache>
                <c:formatCode>_-* #\ ##0.00\ [$zł-415]_-;\-* #\ ##0.00\ [$zł-415]_-;_-* "-"??\ [$zł-415]_-;_-@_-</c:formatCode>
                <c:ptCount val="3"/>
                <c:pt idx="0">
                  <c:v>5655.5</c:v>
                </c:pt>
                <c:pt idx="1">
                  <c:v>4810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C8-4A7E-8CE5-C769EA052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4850896"/>
        <c:axId val="1914862896"/>
      </c:barChart>
      <c:catAx>
        <c:axId val="191485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4862896"/>
        <c:crosses val="autoZero"/>
        <c:auto val="1"/>
        <c:lblAlgn val="ctr"/>
        <c:lblOffset val="100"/>
        <c:noMultiLvlLbl val="0"/>
      </c:catAx>
      <c:valAx>
        <c:axId val="19148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.00\ [$zł-415]_-;\-* #\ ##0.00\ [$zł-415]_-;_-* &quot;-&quot;??\ [$zł-415]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1485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Expenses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'1'!$G$12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3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51C-452A-A20D-58552FF1E396}"/>
              </c:ext>
            </c:extLst>
          </c:dPt>
          <c:dPt>
            <c:idx val="1"/>
            <c:bubble3D val="0"/>
            <c:spPr>
              <a:solidFill>
                <a:schemeClr val="accent2">
                  <a:shade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151C-452A-A20D-58552FF1E396}"/>
              </c:ext>
            </c:extLst>
          </c:dPt>
          <c:dPt>
            <c:idx val="2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51C-452A-A20D-58552FF1E396}"/>
              </c:ext>
            </c:extLst>
          </c:dPt>
          <c:dPt>
            <c:idx val="3"/>
            <c:bubble3D val="0"/>
            <c:spPr>
              <a:solidFill>
                <a:schemeClr val="accent2">
                  <a:shade val="6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51C-452A-A20D-58552FF1E396}"/>
              </c:ext>
            </c:extLst>
          </c:dPt>
          <c:dPt>
            <c:idx val="4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151C-452A-A20D-58552FF1E396}"/>
              </c:ext>
            </c:extLst>
          </c:dPt>
          <c:dPt>
            <c:idx val="5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51C-452A-A20D-58552FF1E396}"/>
              </c:ext>
            </c:extLst>
          </c:dPt>
          <c:dPt>
            <c:idx val="6"/>
            <c:bubble3D val="0"/>
            <c:spPr>
              <a:solidFill>
                <a:schemeClr val="accent2">
                  <a:shade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51C-452A-A20D-58552FF1E396}"/>
              </c:ext>
            </c:extLst>
          </c:dPt>
          <c:dPt>
            <c:idx val="7"/>
            <c:bubble3D val="0"/>
            <c:spPr>
              <a:solidFill>
                <a:schemeClr val="accent2">
                  <a:tint val="9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51C-452A-A20D-58552FF1E396}"/>
              </c:ext>
            </c:extLst>
          </c:dPt>
          <c:dPt>
            <c:idx val="8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51C-452A-A20D-58552FF1E396}"/>
              </c:ext>
            </c:extLst>
          </c:dPt>
          <c:dPt>
            <c:idx val="9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2">
                  <a:tint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2">
                  <a:tint val="4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0.14466606101034815"/>
                  <c:y val="-1.1862623817199868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51C-452A-A20D-58552FF1E396}"/>
                </c:ext>
              </c:extLst>
            </c:dLbl>
            <c:dLbl>
              <c:idx val="1"/>
              <c:layout>
                <c:manualLayout>
                  <c:x val="9.8982041743922486E-2"/>
                  <c:y val="-7.9781338463755236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51C-452A-A20D-58552FF1E396}"/>
                </c:ext>
              </c:extLst>
            </c:dLbl>
            <c:dLbl>
              <c:idx val="2"/>
              <c:layout>
                <c:manualLayout>
                  <c:x val="3.2994013914640782E-2"/>
                  <c:y val="-0.10649686798581171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51C-452A-A20D-58552FF1E396}"/>
                </c:ext>
              </c:extLst>
            </c:dLbl>
            <c:dLbl>
              <c:idx val="3"/>
              <c:layout>
                <c:manualLayout>
                  <c:x val="-0.11421004816606441"/>
                  <c:y val="3.5498955995270531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51C-452A-A20D-58552FF1E396}"/>
                </c:ext>
              </c:extLst>
            </c:dLbl>
            <c:dLbl>
              <c:idx val="4"/>
              <c:layout>
                <c:manualLayout>
                  <c:x val="-0.15481806529177619"/>
                  <c:y val="7.10946086273712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51C-452A-A20D-58552FF1E396}"/>
                </c:ext>
              </c:extLst>
            </c:dLbl>
            <c:dLbl>
              <c:idx val="5"/>
              <c:layout>
                <c:manualLayout>
                  <c:x val="0.23603409954319979"/>
                  <c:y val="0.10350378836450547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51C-452A-A20D-58552FF1E396}"/>
                </c:ext>
              </c:extLst>
            </c:dLbl>
            <c:dLbl>
              <c:idx val="6"/>
              <c:layout>
                <c:manualLayout>
                  <c:x val="0.21319208990998689"/>
                  <c:y val="7.6825766007815877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51C-452A-A20D-58552FF1E396}"/>
                </c:ext>
              </c:extLst>
            </c:dLbl>
            <c:dLbl>
              <c:idx val="7"/>
              <c:layout>
                <c:manualLayout>
                  <c:x val="-0.21826809205070086"/>
                  <c:y val="-0.15692954327464465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51C-452A-A20D-58552FF1E396}"/>
                </c:ext>
              </c:extLst>
            </c:dLbl>
            <c:dLbl>
              <c:idx val="8"/>
              <c:layout>
                <c:manualLayout>
                  <c:x val="2.2521062411244856E-2"/>
                  <c:y val="6.5932556900073755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51C-452A-A20D-58552FF1E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'1'!$G$13:$G$26</c:f>
              <c:numCache>
                <c:formatCode>_-* #\ ##0.00\ [$zł-415]_-;\-* #\ ##0.00\ [$zł-415]_-;_-* "-"??\ [$zł-415]_-;_-@_-</c:formatCode>
                <c:ptCount val="14"/>
                <c:pt idx="0">
                  <c:v>1735</c:v>
                </c:pt>
                <c:pt idx="1">
                  <c:v>200</c:v>
                </c:pt>
                <c:pt idx="2">
                  <c:v>300</c:v>
                </c:pt>
                <c:pt idx="3">
                  <c:v>750</c:v>
                </c:pt>
                <c:pt idx="4">
                  <c:v>130</c:v>
                </c:pt>
                <c:pt idx="5">
                  <c:v>130</c:v>
                </c:pt>
                <c:pt idx="6">
                  <c:v>200</c:v>
                </c:pt>
                <c:pt idx="7">
                  <c:v>200</c:v>
                </c:pt>
                <c:pt idx="8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1C-452A-A20D-58552FF1E396}"/>
            </c:ext>
          </c:extLst>
        </c:ser>
        <c:ser>
          <c:idx val="1"/>
          <c:order val="1"/>
          <c:tx>
            <c:strRef>
              <c:f>'1'!$H$12</c:f>
              <c:strCache>
                <c:ptCount val="1"/>
                <c:pt idx="0">
                  <c:v>Actual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3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151C-452A-A20D-58552FF1E396}"/>
              </c:ext>
            </c:extLst>
          </c:dPt>
          <c:dPt>
            <c:idx val="1"/>
            <c:bubble3D val="0"/>
            <c:spPr>
              <a:solidFill>
                <a:schemeClr val="accent2">
                  <a:shade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151C-452A-A20D-58552FF1E396}"/>
              </c:ext>
            </c:extLst>
          </c:dPt>
          <c:dPt>
            <c:idx val="2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51C-452A-A20D-58552FF1E396}"/>
              </c:ext>
            </c:extLst>
          </c:dPt>
          <c:dPt>
            <c:idx val="3"/>
            <c:bubble3D val="0"/>
            <c:spPr>
              <a:solidFill>
                <a:schemeClr val="accent2">
                  <a:shade val="6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151C-452A-A20D-58552FF1E396}"/>
              </c:ext>
            </c:extLst>
          </c:dPt>
          <c:dPt>
            <c:idx val="4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51C-452A-A20D-58552FF1E396}"/>
              </c:ext>
            </c:extLst>
          </c:dPt>
          <c:dPt>
            <c:idx val="5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51C-452A-A20D-58552FF1E396}"/>
              </c:ext>
            </c:extLst>
          </c:dPt>
          <c:dPt>
            <c:idx val="6"/>
            <c:bubble3D val="0"/>
            <c:spPr>
              <a:solidFill>
                <a:schemeClr val="accent2">
                  <a:shade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51C-452A-A20D-58552FF1E396}"/>
              </c:ext>
            </c:extLst>
          </c:dPt>
          <c:dPt>
            <c:idx val="7"/>
            <c:bubble3D val="0"/>
            <c:spPr>
              <a:solidFill>
                <a:schemeClr val="accent2">
                  <a:tint val="9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51C-452A-A20D-58552FF1E396}"/>
              </c:ext>
            </c:extLst>
          </c:dPt>
          <c:dPt>
            <c:idx val="8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51C-452A-A20D-58552FF1E396}"/>
              </c:ext>
            </c:extLst>
          </c:dPt>
          <c:dPt>
            <c:idx val="9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2">
                  <a:tint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2">
                  <a:tint val="4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5.3298022477496633E-2"/>
                  <c:y val="-0.18045302630929186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51C-452A-A20D-58552FF1E396}"/>
                </c:ext>
              </c:extLst>
            </c:dLbl>
            <c:dLbl>
              <c:idx val="1"/>
              <c:layout>
                <c:manualLayout>
                  <c:x val="0.19542608241748807"/>
                  <c:y val="1.4826123185145262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51C-452A-A20D-58552FF1E396}"/>
                </c:ext>
              </c:extLst>
            </c:dLbl>
            <c:dLbl>
              <c:idx val="2"/>
              <c:layout>
                <c:manualLayout>
                  <c:x val="0.12436205244749235"/>
                  <c:y val="8.2830897322298022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51C-452A-A20D-58552FF1E396}"/>
                </c:ext>
              </c:extLst>
            </c:dLbl>
            <c:dLbl>
              <c:idx val="3"/>
              <c:layout>
                <c:manualLayout>
                  <c:x val="-0.13705205779927729"/>
                  <c:y val="7.3956158323480167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51C-452A-A20D-58552FF1E396}"/>
                </c:ext>
              </c:extLst>
            </c:dLbl>
            <c:dLbl>
              <c:idx val="4"/>
              <c:layout>
                <c:manualLayout>
                  <c:x val="-9.3906039603208535E-2"/>
                  <c:y val="-6.8106862234465881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51C-452A-A20D-58552FF1E396}"/>
                </c:ext>
              </c:extLst>
            </c:dLbl>
            <c:dLbl>
              <c:idx val="5"/>
              <c:layout>
                <c:manualLayout>
                  <c:x val="0.23095809740248577"/>
                  <c:y val="7.679872124920667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51C-452A-A20D-58552FF1E396}"/>
                </c:ext>
              </c:extLst>
            </c:dLbl>
            <c:dLbl>
              <c:idx val="6"/>
              <c:layout>
                <c:manualLayout>
                  <c:x val="-0.14720406208070524"/>
                  <c:y val="-2.3644579647513566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51C-452A-A20D-58552FF1E396}"/>
                </c:ext>
              </c:extLst>
            </c:dLbl>
            <c:dLbl>
              <c:idx val="7"/>
              <c:layout>
                <c:manualLayout>
                  <c:x val="-2.2842009633212926E-2"/>
                  <c:y val="-8.2830897322297911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51C-452A-A20D-58552FF1E396}"/>
                </c:ext>
              </c:extLst>
            </c:dLbl>
            <c:dLbl>
              <c:idx val="8"/>
              <c:layout>
                <c:manualLayout>
                  <c:x val="0.17258407278427509"/>
                  <c:y val="-5.0470415598670715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51C-452A-A20D-58552FF1E3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'1'!$H$13:$H$26</c:f>
              <c:numCache>
                <c:formatCode>_-* #\ ##0.00\ [$zł-415]_-;\-* #\ ##0.00\ [$zł-415]_-;_-* "-"??\ [$zł-415]_-;_-@_-</c:formatCode>
                <c:ptCount val="14"/>
                <c:pt idx="0">
                  <c:v>2000</c:v>
                </c:pt>
                <c:pt idx="1">
                  <c:v>80</c:v>
                </c:pt>
                <c:pt idx="2">
                  <c:v>85</c:v>
                </c:pt>
                <c:pt idx="3">
                  <c:v>1715</c:v>
                </c:pt>
                <c:pt idx="4">
                  <c:v>100</c:v>
                </c:pt>
                <c:pt idx="5">
                  <c:v>150</c:v>
                </c:pt>
                <c:pt idx="6">
                  <c:v>500</c:v>
                </c:pt>
                <c:pt idx="7">
                  <c:v>100</c:v>
                </c:pt>
                <c:pt idx="8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1C-452A-A20D-58552FF1E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Income structure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'1'!$B$12</c:f>
              <c:strCache>
                <c:ptCount val="1"/>
                <c:pt idx="0">
                  <c:v>Planned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3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C68A-4B95-98D2-62564A6546AA}"/>
              </c:ext>
            </c:extLst>
          </c:dPt>
          <c:dPt>
            <c:idx val="2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C68A-4B95-98D2-62564A6546AA}"/>
              </c:ext>
            </c:extLst>
          </c:dPt>
          <c:dPt>
            <c:idx val="3"/>
            <c:bubble3D val="0"/>
            <c:spPr>
              <a:solidFill>
                <a:schemeClr val="accent1">
                  <a:shade val="6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8A-4B95-98D2-62564A6546AA}"/>
              </c:ext>
            </c:extLst>
          </c:dPt>
          <c:dPt>
            <c:idx val="4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68A-4B95-98D2-62564A6546AA}"/>
              </c:ext>
            </c:extLst>
          </c:dPt>
          <c:dPt>
            <c:idx val="5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8A-4B95-98D2-62564A6546AA}"/>
              </c:ext>
            </c:extLst>
          </c:dPt>
          <c:dPt>
            <c:idx val="6"/>
            <c:bubble3D val="0"/>
            <c:spPr>
              <a:solidFill>
                <a:schemeClr val="accent1">
                  <a:shade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1">
                  <a:tint val="9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1">
                  <a:tint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tint val="4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1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1"/>
              <c:layout>
                <c:manualLayout>
                  <c:x val="0.23842992363720936"/>
                  <c:y val="5.0175311469230266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68A-4B95-98D2-62564A6546AA}"/>
                </c:ext>
              </c:extLst>
            </c:dLbl>
            <c:dLbl>
              <c:idx val="2"/>
              <c:layout>
                <c:manualLayout>
                  <c:x val="0.16815584088097921"/>
                  <c:y val="-0.13281700094796245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68A-4B95-98D2-62564A6546AA}"/>
                </c:ext>
              </c:extLst>
            </c:dLbl>
            <c:dLbl>
              <c:idx val="3"/>
              <c:layout>
                <c:manualLayout>
                  <c:x val="6.5254505416499339E-2"/>
                  <c:y val="-8.8544667298641744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68A-4B95-98D2-62564A6546AA}"/>
                </c:ext>
              </c:extLst>
            </c:dLbl>
            <c:dLbl>
              <c:idx val="4"/>
              <c:layout>
                <c:manualLayout>
                  <c:x val="0.14807753152205641"/>
                  <c:y val="-1.7708933459728328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68A-4B95-98D2-62564A6546AA}"/>
                </c:ext>
              </c:extLst>
            </c:dLbl>
            <c:dLbl>
              <c:idx val="5"/>
              <c:layout>
                <c:manualLayout>
                  <c:x val="-0.24344950097694018"/>
                  <c:y val="7.3787222748867981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68A-4B95-98D2-62564A6546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'1'!$B$13:$B$26</c:f>
              <c:numCache>
                <c:formatCode>_-* #\ ##0.00\ [$zł-415]_-;\-* #\ ##0.00\ [$zł-415]_-;_-* "-"??\ [$zł-415]_-;_-@_-</c:formatCode>
                <c:ptCount val="14"/>
                <c:pt idx="0">
                  <c:v>2500</c:v>
                </c:pt>
                <c:pt idx="1">
                  <c:v>300</c:v>
                </c:pt>
                <c:pt idx="2">
                  <c:v>500</c:v>
                </c:pt>
                <c:pt idx="3">
                  <c:v>100</c:v>
                </c:pt>
                <c:pt idx="4">
                  <c:v>1500</c:v>
                </c:pt>
                <c:pt idx="5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A-4B95-98D2-62564A6546AA}"/>
            </c:ext>
          </c:extLst>
        </c:ser>
        <c:ser>
          <c:idx val="1"/>
          <c:order val="1"/>
          <c:tx>
            <c:strRef>
              <c:f>'1'!$C$12</c:f>
              <c:strCache>
                <c:ptCount val="1"/>
                <c:pt idx="0">
                  <c:v>Actual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3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68A-4B95-98D2-62564A6546AA}"/>
              </c:ext>
            </c:extLst>
          </c:dPt>
          <c:dPt>
            <c:idx val="1"/>
            <c:bubble3D val="0"/>
            <c:spPr>
              <a:solidFill>
                <a:schemeClr val="accent1">
                  <a:shade val="4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68A-4B95-98D2-62564A6546AA}"/>
              </c:ext>
            </c:extLst>
          </c:dPt>
          <c:dPt>
            <c:idx val="2"/>
            <c:bubble3D val="0"/>
            <c:spPr>
              <a:solidFill>
                <a:schemeClr val="accent1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8A-4B95-98D2-62564A6546AA}"/>
              </c:ext>
            </c:extLst>
          </c:dPt>
          <c:dPt>
            <c:idx val="3"/>
            <c:bubble3D val="0"/>
            <c:spPr>
              <a:solidFill>
                <a:schemeClr val="accent1">
                  <a:shade val="6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68A-4B95-98D2-62564A6546AA}"/>
              </c:ext>
            </c:extLst>
          </c:dPt>
          <c:dPt>
            <c:idx val="4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68A-4B95-98D2-62564A6546AA}"/>
              </c:ext>
            </c:extLst>
          </c:dPt>
          <c:dPt>
            <c:idx val="5"/>
            <c:bubble3D val="0"/>
            <c:spPr>
              <a:solidFill>
                <a:schemeClr val="accent1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8A-4B95-98D2-62564A6546AA}"/>
              </c:ext>
            </c:extLst>
          </c:dPt>
          <c:dPt>
            <c:idx val="6"/>
            <c:bubble3D val="0"/>
            <c:spPr>
              <a:solidFill>
                <a:schemeClr val="accent1">
                  <a:shade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1">
                  <a:tint val="9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1">
                  <a:tint val="6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1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tint val="49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1">
                  <a:tint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7.2783871426095423E-2"/>
                  <c:y val="-6.7884244928958601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8A-4B95-98D2-62564A6546AA}"/>
                </c:ext>
              </c:extLst>
            </c:dLbl>
            <c:dLbl>
              <c:idx val="1"/>
              <c:layout>
                <c:manualLayout>
                  <c:x val="-2.7607675368518988E-2"/>
                  <c:y val="0.17413784568732857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8A-4B95-98D2-62564A6546AA}"/>
                </c:ext>
              </c:extLst>
            </c:dLbl>
            <c:dLbl>
              <c:idx val="2"/>
              <c:layout>
                <c:manualLayout>
                  <c:x val="0.18572436157003683"/>
                  <c:y val="-5.9029778199094426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68A-4B95-98D2-62564A6546AA}"/>
                </c:ext>
              </c:extLst>
            </c:dLbl>
            <c:dLbl>
              <c:idx val="3"/>
              <c:layout>
                <c:manualLayout>
                  <c:x val="0.10792091280421041"/>
                  <c:y val="-5.9029778199094426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8A-4B95-98D2-62564A6546AA}"/>
                </c:ext>
              </c:extLst>
            </c:dLbl>
            <c:dLbl>
              <c:idx val="4"/>
              <c:layout>
                <c:manualLayout>
                  <c:x val="-0.18321457290017149"/>
                  <c:y val="2.9514889099547106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68A-4B95-98D2-62564A6546AA}"/>
                </c:ext>
              </c:extLst>
            </c:dLbl>
            <c:dLbl>
              <c:idx val="5"/>
              <c:layout>
                <c:manualLayout>
                  <c:x val="-0.18572436157003683"/>
                  <c:y val="-4.4272333649320823E-2"/>
                </c:manualLayout>
              </c:layout>
              <c:showLegendKey val="0"/>
              <c:showVal val="0"/>
              <c:showCatName val="1"/>
              <c:showSerName val="1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8A-4B95-98D2-62564A6546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showLegendKey val="0"/>
            <c:showVal val="0"/>
            <c:showCatName val="1"/>
            <c:showSerName val="1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'1'!$C$13:$C$26</c:f>
              <c:numCache>
                <c:formatCode>_-* #\ ##0.00\ [$zł-415]_-;\-* #\ ##0.00\ [$zł-415]_-;_-* "-"??\ [$zł-415]_-;_-@_-</c:formatCode>
                <c:ptCount val="14"/>
                <c:pt idx="0">
                  <c:v>250</c:v>
                </c:pt>
                <c:pt idx="1">
                  <c:v>105.5</c:v>
                </c:pt>
                <c:pt idx="2">
                  <c:v>0</c:v>
                </c:pt>
                <c:pt idx="3">
                  <c:v>800</c:v>
                </c:pt>
                <c:pt idx="4">
                  <c:v>4500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8A-4B95-98D2-62564A654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185530</xdr:rowOff>
    </xdr:from>
    <xdr:to>
      <xdr:col>7</xdr:col>
      <xdr:colOff>505239</xdr:colOff>
      <xdr:row>8</xdr:row>
      <xdr:rowOff>8282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CFFB7E-72CF-9596-91B4-1FEE542AA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386043</xdr:colOff>
      <xdr:row>27</xdr:row>
      <xdr:rowOff>254653</xdr:rowOff>
    </xdr:from>
    <xdr:to>
      <xdr:col>8</xdr:col>
      <xdr:colOff>1157568</xdr:colOff>
      <xdr:row>44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4E7FF8-D947-5E58-4493-5E3C63930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448234</xdr:colOff>
      <xdr:row>28</xdr:row>
      <xdr:rowOff>26943</xdr:rowOff>
    </xdr:from>
    <xdr:to>
      <xdr:col>3</xdr:col>
      <xdr:colOff>1367117</xdr:colOff>
      <xdr:row>44</xdr:row>
      <xdr:rowOff>89160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50693CB-CFBE-3001-F2D6-4A2119F96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9FDA8-428F-476D-9993-DDB17573CCE8}" name="Income_1" displayName="Income_1" ref="A12:D27" totalsRowCount="1" headerRowDxfId="27" totalsRowDxfId="21" headerRowBorderDxfId="64" tableBorderDxfId="65" totalsRowBorderDxfId="63">
  <autoFilter ref="A12:D26" xr:uid="{93B9FDA8-428F-476D-9993-DDB17573CCE8}"/>
  <tableColumns count="4">
    <tableColumn id="1" xr3:uid="{47963C17-678E-425A-8D4A-D2FE3D6E7226}" name="Source" totalsRowLabel="Total" dataDxfId="61" totalsRowDxfId="9"/>
    <tableColumn id="2" xr3:uid="{3C63B028-A6DC-4F52-8475-8BC80F99EB1C}" name="Planned" totalsRowFunction="custom" dataDxfId="62" totalsRowDxfId="8">
      <totalsRowFormula>SUM(B13:B26)</totalsRowFormula>
    </tableColumn>
    <tableColumn id="3" xr3:uid="{585C65ED-789D-4AA6-84C8-FC72116AAD6D}" name="Actual" totalsRowFunction="custom" dataDxfId="60" totalsRowDxfId="7">
      <totalsRowFormula>SUM(Income_1[Actual])</totalsRowFormula>
    </tableColumn>
    <tableColumn id="4" xr3:uid="{894C6C1B-7E82-4BDA-B915-F19F691706F1}" name="Left" totalsRowFunction="sum" dataDxfId="59" totalsRowDxfId="6"/>
  </tableColumns>
  <tableStyleInfo name="Table Style Min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4A8353D-9D5D-42AC-A175-10AA233D4CCC}" name="Expenses_1" displayName="Expenses_1" ref="F12:I27" totalsRowCount="1" headerRowDxfId="50" totalsRowDxfId="22" headerRowBorderDxfId="56" tableBorderDxfId="57" totalsRowBorderDxfId="55">
  <autoFilter ref="F12:I26" xr:uid="{24A8353D-9D5D-42AC-A175-10AA233D4CCC}"/>
  <tableColumns count="4">
    <tableColumn id="1" xr3:uid="{F0018E1B-25DC-44BE-BA1D-A7095A040E13}" name="Category" totalsRowLabel="Total" dataDxfId="54" totalsRowDxfId="26"/>
    <tableColumn id="2" xr3:uid="{3C235523-D986-48AE-9CD3-9E36C86B2839}" name="Planned" totalsRowFunction="custom" dataDxfId="53" totalsRowDxfId="25" dataCellStyle="Currency">
      <totalsRowFormula>SUM(G13:G26)</totalsRowFormula>
    </tableColumn>
    <tableColumn id="3" xr3:uid="{AD2EEE4E-3835-4B34-8A96-E7D2653ADBA2}" name="Actual" totalsRowFunction="custom" dataDxfId="52" totalsRowDxfId="24" dataCellStyle="Currency">
      <totalsRowFormula>SUM(H13:H26)</totalsRowFormula>
    </tableColumn>
    <tableColumn id="4" xr3:uid="{8ABC1D3D-43BA-4F9B-981A-0FA0EE02CE50}" name="Left" totalsRowFunction="sum" dataDxfId="51" totalsRowDxfId="23" dataCellStyle="Curr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B5C5F31-13A9-4CEA-9193-37475751E1DB}" name="Bills_1" displayName="Bills_1" ref="K12:N27" totalsRowCount="1" headerRowDxfId="42" totalsRowDxfId="16" headerRowBorderDxfId="48" tableBorderDxfId="49" totalsRowBorderDxfId="47">
  <autoFilter ref="K12:N26" xr:uid="{EB5C5F31-13A9-4CEA-9193-37475751E1DB}"/>
  <tableColumns count="4">
    <tableColumn id="1" xr3:uid="{974AB822-F1D7-4B32-882A-2EFFDCBD2EB4}" name="Bill" totalsRowLabel="Total" dataDxfId="46" totalsRowDxfId="20"/>
    <tableColumn id="2" xr3:uid="{1575EFDB-723D-4B63-81F2-B41C72839C5A}" name="Due" dataDxfId="45" totalsRowDxfId="19"/>
    <tableColumn id="3" xr3:uid="{BC90331A-648F-4944-B224-7A23A04D9C44}" name="Planned" totalsRowFunction="custom" dataDxfId="44" totalsRowDxfId="18" dataCellStyle="Currency">
      <totalsRowFormula>SUM(M13:M26)</totalsRowFormula>
    </tableColumn>
    <tableColumn id="4" xr3:uid="{820C1A9B-D61A-4153-9713-E99DFF4DF0C9}" name="Actual" totalsRowFunction="count" dataDxfId="43" totalsRowDxfId="17" dataCellStyle="Currenc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E7F0D9A-AB58-44A4-9409-811D7CF48231}" name="Subscriptions_1" displayName="Subscriptions_1" ref="P12:S27" totalsRowCount="1" headerRowDxfId="34" totalsRowDxfId="11" headerRowBorderDxfId="40" tableBorderDxfId="41" totalsRowBorderDxfId="39">
  <autoFilter ref="P12:S26" xr:uid="{0E7F0D9A-AB58-44A4-9409-811D7CF48231}"/>
  <tableColumns count="4">
    <tableColumn id="1" xr3:uid="{E7C3C493-1D35-494E-8780-064E76CA215A}" name="Service" totalsRowLabel="Total" dataDxfId="38" totalsRowDxfId="15"/>
    <tableColumn id="2" xr3:uid="{B808D1D5-EB2E-4C46-9F05-307A3089A0EB}" name="Due" dataDxfId="37" totalsRowDxfId="14"/>
    <tableColumn id="3" xr3:uid="{970C713E-06E0-47FF-96E6-E3CF2E914BBC}" name="Planned" totalsRowFunction="custom" dataDxfId="36" totalsRowDxfId="13">
      <totalsRowFormula>SUM(R13:R26)</totalsRowFormula>
    </tableColumn>
    <tableColumn id="4" xr3:uid="{F190011F-4908-4132-8EC4-6494253264FA}" name="Actual" totalsRowFunction="count" dataDxfId="35" totalsRow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BF81A8-B423-4B5B-B86F-3F525C6B18A9}" name="Savings_1" displayName="Savings_1" ref="U12:X27" totalsRowCount="1" headerRowDxfId="30" totalsRowDxfId="10" headerRowBorderDxfId="32" tableBorderDxfId="33" totalsRowBorderDxfId="31">
  <autoFilter ref="U12:X26" xr:uid="{B4BF81A8-B423-4B5B-B86F-3F525C6B18A9}"/>
  <tableColumns count="4">
    <tableColumn id="1" xr3:uid="{2CF9D6BD-DDC0-49CA-A5EA-61E3721B6E5E}" name="Aim" totalsRowLabel="Total" dataDxfId="29" totalsRowDxfId="5"/>
    <tableColumn id="2" xr3:uid="{D196274E-04BA-4C40-9CB9-845488706B69}" name="Planned" totalsRowFunction="custom" dataDxfId="28" totalsRowDxfId="4">
      <totalsRowFormula>SUM(V13:V26)</totalsRowFormula>
    </tableColumn>
    <tableColumn id="3" xr3:uid="{BCD8925A-A2B2-47A6-A8D8-57B4DBA32F92}" name="Actual" totalsRowFunction="sum" dataDxfId="1" totalsRowDxfId="3"/>
    <tableColumn id="4" xr3:uid="{B2F711D2-4F5D-447B-81E8-1FBAB0FC774A}" name="Left" totalsRowFunction="custom" dataDxfId="0" totalsRowDxfId="2">
      <calculatedColumnFormula>Savings_1[[#This Row],[Planned]]-Savings_1[[#This Row],[Actual]]</calculatedColumnFormula>
      <totalsRowFormula>SUM(Savings_1[Left])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Aspek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CB483-69A1-40A7-B143-580A9C6FC79C}">
  <dimension ref="A1:X27"/>
  <sheetViews>
    <sheetView tabSelected="1" topLeftCell="E1" zoomScale="115" zoomScaleNormal="115" workbookViewId="0">
      <selection activeCell="K7" sqref="K7"/>
    </sheetView>
  </sheetViews>
  <sheetFormatPr defaultColWidth="9.140625" defaultRowHeight="21" x14ac:dyDescent="0.4"/>
  <cols>
    <col min="1" max="1" width="17.140625" style="1" bestFit="1" customWidth="1"/>
    <col min="2" max="4" width="22.42578125" style="1" bestFit="1" customWidth="1"/>
    <col min="5" max="5" width="9.140625" style="1"/>
    <col min="6" max="6" width="21.28515625" style="1" bestFit="1" customWidth="1"/>
    <col min="7" max="9" width="21.140625" style="1" bestFit="1" customWidth="1"/>
    <col min="10" max="10" width="9.140625" style="1"/>
    <col min="11" max="11" width="14.5703125" style="1" customWidth="1"/>
    <col min="12" max="12" width="15.85546875" style="1" bestFit="1" customWidth="1"/>
    <col min="13" max="13" width="21.140625" style="1" bestFit="1" customWidth="1"/>
    <col min="14" max="14" width="11.140625" style="1" bestFit="1" customWidth="1"/>
    <col min="15" max="15" width="9.140625" style="1"/>
    <col min="16" max="16" width="12.85546875" style="1" bestFit="1" customWidth="1"/>
    <col min="17" max="17" width="15.85546875" style="1" bestFit="1" customWidth="1"/>
    <col min="18" max="18" width="18.28515625" style="1" bestFit="1" customWidth="1"/>
    <col min="19" max="19" width="11.140625" style="1" bestFit="1" customWidth="1"/>
    <col min="20" max="20" width="9.140625" style="1"/>
    <col min="21" max="21" width="22.7109375" style="1" bestFit="1" customWidth="1"/>
    <col min="22" max="22" width="21.140625" style="1" bestFit="1" customWidth="1"/>
    <col min="23" max="23" width="18.28515625" style="1" bestFit="1" customWidth="1"/>
    <col min="24" max="24" width="21.140625" style="1" bestFit="1" customWidth="1"/>
    <col min="25" max="16384" width="9.140625" style="1"/>
  </cols>
  <sheetData>
    <row r="1" spans="1:24" x14ac:dyDescent="0.4">
      <c r="A1" s="20" t="s">
        <v>25</v>
      </c>
      <c r="B1" s="21"/>
      <c r="C1" s="21"/>
      <c r="D1" s="21"/>
      <c r="E1" s="12"/>
    </row>
    <row r="2" spans="1:24" x14ac:dyDescent="0.4">
      <c r="A2" s="22" t="str" cm="1">
        <f t="array" aca="1" ref="A2" ca="1">RIGHT(CELL("filename",A1),LEN(CELL("filename",A1))-FIND("]",CELL("filename",A1)))</f>
        <v>1</v>
      </c>
      <c r="B2" s="23"/>
      <c r="C2" s="23"/>
      <c r="D2" s="23"/>
    </row>
    <row r="4" spans="1:24" x14ac:dyDescent="0.4">
      <c r="B4" s="11" t="s">
        <v>6</v>
      </c>
      <c r="C4" s="11" t="s">
        <v>7</v>
      </c>
      <c r="D4" s="11" t="s">
        <v>26</v>
      </c>
      <c r="E4" s="13"/>
    </row>
    <row r="5" spans="1:24" x14ac:dyDescent="0.4">
      <c r="A5" s="11" t="s">
        <v>46</v>
      </c>
      <c r="B5" s="9" cm="1">
        <f t="array" aca="1" ref="B5" ca="1">INDIRECT($A5&amp;"_1[[#Totals];["&amp;B$4&amp;"]]")</f>
        <v>5700</v>
      </c>
      <c r="C5" s="9" cm="1">
        <f t="array" aca="1" ref="C5" ca="1">INDIRECT($A5&amp;"_1[[#Totals];["&amp;C$4&amp;"]]")</f>
        <v>5655.5</v>
      </c>
      <c r="D5" s="9" cm="1">
        <f t="array" aca="1" ref="D5" ca="1">INDIRECT($A5&amp;"_1[[#Totals];["&amp;D$4&amp;"]]")</f>
        <v>-44.5</v>
      </c>
      <c r="E5" s="13"/>
    </row>
    <row r="6" spans="1:24" x14ac:dyDescent="0.4">
      <c r="A6" s="11" t="s">
        <v>1</v>
      </c>
      <c r="B6" s="9" cm="1">
        <f t="array" aca="1" ref="B6" ca="1">INDIRECT($A6&amp;"_1[[#Totals];["&amp;B$4&amp;"]]")</f>
        <v>3795</v>
      </c>
      <c r="C6" s="9" cm="1">
        <f t="array" aca="1" ref="C6" ca="1">INDIRECT($A6&amp;"_1[[#Totals];["&amp;C$4&amp;"]]")</f>
        <v>4810</v>
      </c>
      <c r="D6" s="9" cm="1">
        <f t="array" aca="1" ref="D6" ca="1">INDIRECT($A6&amp;"_1[[#Totals];["&amp;D$4&amp;"]]")</f>
        <v>-1015</v>
      </c>
      <c r="E6" s="13"/>
    </row>
    <row r="7" spans="1:24" x14ac:dyDescent="0.4">
      <c r="A7" s="11" t="s">
        <v>4</v>
      </c>
      <c r="B7" s="9" cm="1">
        <f t="array" aca="1" ref="B7" ca="1">INDIRECT($A7&amp;"_1[[#Totals];["&amp;B$4&amp;"]]")</f>
        <v>1905</v>
      </c>
      <c r="C7" s="9" cm="1">
        <f t="array" aca="1" ref="C7" ca="1">INDIRECT($A7&amp;"_1[[#Totals];["&amp;C$4&amp;"]]")</f>
        <v>0</v>
      </c>
      <c r="D7" s="9" cm="1">
        <f t="array" aca="1" ref="D7" ca="1">INDIRECT($A7&amp;"_1[[#Totals];["&amp;D$4&amp;"]]")</f>
        <v>1905</v>
      </c>
      <c r="E7" s="13"/>
    </row>
    <row r="9" spans="1:24" x14ac:dyDescent="0.4">
      <c r="A9" s="11" t="s">
        <v>27</v>
      </c>
      <c r="B9" s="9">
        <f ca="1">B5-B6-B7</f>
        <v>0</v>
      </c>
      <c r="C9" s="9">
        <f t="shared" ref="C9" ca="1" si="0">C5-C6-C7</f>
        <v>845.5</v>
      </c>
      <c r="D9" s="9">
        <f ca="1">D5+D6+D7</f>
        <v>845.5</v>
      </c>
      <c r="E9" s="13"/>
    </row>
    <row r="11" spans="1:24" x14ac:dyDescent="0.4">
      <c r="A11" s="24" t="s">
        <v>0</v>
      </c>
      <c r="B11" s="25"/>
      <c r="C11" s="25"/>
      <c r="D11" s="25"/>
      <c r="F11" s="17" t="s">
        <v>1</v>
      </c>
      <c r="G11" s="18"/>
      <c r="H11" s="18"/>
      <c r="I11" s="19"/>
      <c r="K11" s="26" t="s">
        <v>2</v>
      </c>
      <c r="L11" s="26"/>
      <c r="M11" s="26"/>
      <c r="N11" s="26"/>
      <c r="P11" s="16" t="s">
        <v>3</v>
      </c>
      <c r="Q11" s="16"/>
      <c r="R11" s="16"/>
      <c r="S11" s="16"/>
      <c r="U11" s="20" t="s">
        <v>4</v>
      </c>
      <c r="V11" s="69"/>
      <c r="W11" s="69"/>
      <c r="X11" s="69"/>
    </row>
    <row r="12" spans="1:24" ht="22.5" x14ac:dyDescent="0.45">
      <c r="A12" s="66" t="s">
        <v>5</v>
      </c>
      <c r="B12" s="67" t="s">
        <v>6</v>
      </c>
      <c r="C12" s="67" t="s">
        <v>7</v>
      </c>
      <c r="D12" s="68" t="s">
        <v>26</v>
      </c>
      <c r="F12" s="34" t="s">
        <v>8</v>
      </c>
      <c r="G12" s="35" t="s">
        <v>6</v>
      </c>
      <c r="H12" s="35" t="s">
        <v>7</v>
      </c>
      <c r="I12" s="36" t="s">
        <v>26</v>
      </c>
      <c r="K12" s="42" t="s">
        <v>9</v>
      </c>
      <c r="L12" s="43" t="s">
        <v>44</v>
      </c>
      <c r="M12" s="43" t="s">
        <v>6</v>
      </c>
      <c r="N12" s="44" t="s">
        <v>7</v>
      </c>
      <c r="P12" s="51" t="s">
        <v>10</v>
      </c>
      <c r="Q12" s="52" t="s">
        <v>44</v>
      </c>
      <c r="R12" s="52" t="s">
        <v>6</v>
      </c>
      <c r="S12" s="53" t="s">
        <v>7</v>
      </c>
      <c r="U12" s="60" t="s">
        <v>11</v>
      </c>
      <c r="V12" s="61" t="s">
        <v>6</v>
      </c>
      <c r="W12" s="62" t="s">
        <v>7</v>
      </c>
      <c r="X12" s="61" t="s">
        <v>26</v>
      </c>
    </row>
    <row r="13" spans="1:24" x14ac:dyDescent="0.4">
      <c r="A13" s="27" t="s">
        <v>12</v>
      </c>
      <c r="B13" s="7">
        <v>2500</v>
      </c>
      <c r="C13" s="7" cm="1">
        <f t="array" aca="1" ref="C13" ca="1">_xlfn.XLOOKUP(A13,INDIRECT("'Finanse 8.12.xlsx'!incomes_"&amp;$A$2&amp;"[Category]"),INDIRECT("'Finanse 8.12.xlsx'!incomes_"&amp;$A$2&amp;"[Total]"),0,0,1)</f>
        <v>250</v>
      </c>
      <c r="D13" s="28">
        <f ca="1">C13-B13</f>
        <v>-2250</v>
      </c>
      <c r="F13" s="32" t="s">
        <v>41</v>
      </c>
      <c r="G13" s="3">
        <v>1735</v>
      </c>
      <c r="H13" s="3" cm="1">
        <f t="array" aca="1" ref="H13" ca="1">-_xlfn.XLOOKUP(F13,INDIRECT("'Finanse 8.12.xlsx'!expenses_"&amp;$A$2&amp;"[Category]"),INDIRECT("'Finanse 8.12.xlsx'!expenses_"&amp;$A$2&amp;"[Total]"),0,0,1)</f>
        <v>2000</v>
      </c>
      <c r="I13" s="33">
        <f ca="1">G13-H13</f>
        <v>-265</v>
      </c>
      <c r="K13" s="40" t="s">
        <v>13</v>
      </c>
      <c r="L13" s="14">
        <f ca="1">DATE(2025,$A$2,10)</f>
        <v>45667</v>
      </c>
      <c r="M13" s="8">
        <v>1500</v>
      </c>
      <c r="N13" s="41"/>
      <c r="P13" s="49" t="s">
        <v>18</v>
      </c>
      <c r="Q13" s="15">
        <f ca="1">DATE(2025,$A$2,5)</f>
        <v>45662</v>
      </c>
      <c r="R13" s="5">
        <v>12.99</v>
      </c>
      <c r="S13" s="50"/>
      <c r="U13" s="58" t="s">
        <v>38</v>
      </c>
      <c r="V13" s="9">
        <v>500</v>
      </c>
      <c r="W13" s="59"/>
      <c r="X13" s="9">
        <f>Savings_1[[#This Row],[Planned]]-Savings_1[[#This Row],[Actual]]</f>
        <v>500</v>
      </c>
    </row>
    <row r="14" spans="1:24" x14ac:dyDescent="0.4">
      <c r="A14" s="27" t="s">
        <v>28</v>
      </c>
      <c r="B14" s="7">
        <v>300</v>
      </c>
      <c r="C14" s="7" cm="1">
        <f t="array" aca="1" ref="C14" ca="1">_xlfn.XLOOKUP(A14,INDIRECT("'Finanse 8.12.xlsx'!incomes_"&amp;$A$2&amp;"[Category]"),INDIRECT("'Finanse 8.12.xlsx'!incomes_"&amp;$A$2&amp;"[Total]"),0,0,1)</f>
        <v>105.5</v>
      </c>
      <c r="D14" s="28">
        <f t="shared" ref="D14:D18" ca="1" si="1">C14-B14</f>
        <v>-194.5</v>
      </c>
      <c r="F14" s="32" t="s">
        <v>31</v>
      </c>
      <c r="G14" s="3">
        <v>200</v>
      </c>
      <c r="H14" s="3" cm="1">
        <f t="array" aca="1" ref="H14" ca="1">-_xlfn.XLOOKUP(F14,INDIRECT("'Finanse 8.12.xlsx'!expenses_"&amp;$A$2&amp;"[Category]"),INDIRECT("'Finanse 8.12.xlsx'!expenses_"&amp;$A$2&amp;"[Total]"),0,0,1)</f>
        <v>80</v>
      </c>
      <c r="I14" s="33">
        <f t="shared" ref="I14:I21" ca="1" si="2">G14-H14</f>
        <v>120</v>
      </c>
      <c r="K14" s="40" t="s">
        <v>17</v>
      </c>
      <c r="L14" s="14">
        <f ca="1">DATE(2025,$A$2,15)</f>
        <v>45672</v>
      </c>
      <c r="M14" s="8">
        <v>80</v>
      </c>
      <c r="N14" s="41"/>
      <c r="P14" s="49" t="s">
        <v>14</v>
      </c>
      <c r="Q14" s="15">
        <f ca="1">DATE(2025,$A$2,24)</f>
        <v>45681</v>
      </c>
      <c r="R14" s="5">
        <v>33</v>
      </c>
      <c r="S14" s="50"/>
      <c r="U14" s="58" t="s">
        <v>39</v>
      </c>
      <c r="V14" s="9">
        <v>800</v>
      </c>
      <c r="W14" s="59"/>
      <c r="X14" s="9">
        <f>Savings_1[[#This Row],[Planned]]-Savings_1[[#This Row],[Actual]]</f>
        <v>800</v>
      </c>
    </row>
    <row r="15" spans="1:24" x14ac:dyDescent="0.4">
      <c r="A15" s="27" t="s">
        <v>29</v>
      </c>
      <c r="B15" s="7">
        <v>500</v>
      </c>
      <c r="C15" s="7" cm="1">
        <f t="array" aca="1" ref="C15" ca="1">_xlfn.XLOOKUP(A15,INDIRECT("'Finanse 8.12.xlsx'!incomes_"&amp;$A$2&amp;"[Category]"),INDIRECT("'Finanse 8.12.xlsx'!incomes_"&amp;$A$2&amp;"[Total]"),0,0,1)</f>
        <v>0</v>
      </c>
      <c r="D15" s="28">
        <f t="shared" ca="1" si="1"/>
        <v>-500</v>
      </c>
      <c r="F15" s="32" t="s">
        <v>23</v>
      </c>
      <c r="G15" s="3">
        <v>300</v>
      </c>
      <c r="H15" s="3" cm="1">
        <f t="array" aca="1" ref="H15" ca="1">-_xlfn.XLOOKUP(F15,INDIRECT("'Finanse 8.12.xlsx'!expenses_"&amp;$A$2&amp;"[Category]"),INDIRECT("'Finanse 8.12.xlsx'!expenses_"&amp;$A$2&amp;"[Total]"),0,0,1)</f>
        <v>85</v>
      </c>
      <c r="I15" s="33">
        <f t="shared" ca="1" si="2"/>
        <v>215</v>
      </c>
      <c r="K15" s="40" t="s">
        <v>20</v>
      </c>
      <c r="L15" s="14">
        <f t="shared" ref="L15:L16" ca="1" si="3">DATE(2025,$A$2,10)</f>
        <v>45667</v>
      </c>
      <c r="M15" s="8">
        <v>35</v>
      </c>
      <c r="N15" s="41"/>
      <c r="P15" s="49" t="s">
        <v>36</v>
      </c>
      <c r="Q15" s="15">
        <f ca="1">DATE(2025,$A$2,2)</f>
        <v>45659</v>
      </c>
      <c r="R15" s="5">
        <v>22.99</v>
      </c>
      <c r="S15" s="50"/>
      <c r="U15" s="58" t="s">
        <v>43</v>
      </c>
      <c r="V15" s="59">
        <v>605</v>
      </c>
      <c r="W15" s="59"/>
      <c r="X15" s="9">
        <f>Savings_1[[#This Row],[Planned]]-Savings_1[[#This Row],[Actual]]</f>
        <v>605</v>
      </c>
    </row>
    <row r="16" spans="1:24" x14ac:dyDescent="0.4">
      <c r="A16" s="27" t="s">
        <v>40</v>
      </c>
      <c r="B16" s="7">
        <v>100</v>
      </c>
      <c r="C16" s="7" cm="1">
        <f t="array" aca="1" ref="C16" ca="1">_xlfn.XLOOKUP(A16,INDIRECT("'Finanse 8.12.xlsx'!incomes_"&amp;$A$2&amp;"[Category]"),INDIRECT("'Finanse 8.12.xlsx'!incomes_"&amp;$A$2&amp;"[Total]"),0,0,1)</f>
        <v>800</v>
      </c>
      <c r="D16" s="28">
        <f t="shared" ca="1" si="1"/>
        <v>700</v>
      </c>
      <c r="F16" s="32" t="s">
        <v>16</v>
      </c>
      <c r="G16" s="3">
        <v>750</v>
      </c>
      <c r="H16" s="3" cm="1">
        <f t="array" aca="1" ref="H16" ca="1">-_xlfn.XLOOKUP(F16,INDIRECT("'Finanse 8.12.xlsx'!expenses_"&amp;$A$2&amp;"[Category]"),INDIRECT("'Finanse 8.12.xlsx'!expenses_"&amp;$A$2&amp;"[Total]"),0,0,1)</f>
        <v>1715</v>
      </c>
      <c r="I16" s="33">
        <f t="shared" ca="1" si="2"/>
        <v>-965</v>
      </c>
      <c r="K16" s="40" t="s">
        <v>19</v>
      </c>
      <c r="L16" s="14">
        <f t="shared" ca="1" si="3"/>
        <v>45667</v>
      </c>
      <c r="M16" s="8">
        <v>25</v>
      </c>
      <c r="N16" s="41"/>
      <c r="P16" s="49" t="s">
        <v>21</v>
      </c>
      <c r="Q16" s="15">
        <f ca="1">DATE(2025,$A$2,21)</f>
        <v>45678</v>
      </c>
      <c r="R16" s="5">
        <v>100</v>
      </c>
      <c r="S16" s="50"/>
      <c r="U16" s="58"/>
      <c r="V16" s="9"/>
      <c r="W16" s="59"/>
      <c r="X16" s="9">
        <f>Savings_1[[#This Row],[Planned]]-Savings_1[[#This Row],[Actual]]</f>
        <v>0</v>
      </c>
    </row>
    <row r="17" spans="1:24" x14ac:dyDescent="0.4">
      <c r="A17" s="27" t="s">
        <v>30</v>
      </c>
      <c r="B17" s="7">
        <v>1500</v>
      </c>
      <c r="C17" s="7" cm="1">
        <f t="array" aca="1" ref="C17" ca="1">_xlfn.XLOOKUP(A17,INDIRECT("'Finanse 8.12.xlsx'!incomes_"&amp;$A$2&amp;"[Category]"),INDIRECT("'Finanse 8.12.xlsx'!incomes_"&amp;$A$2&amp;"[Total]"),0,0,1)</f>
        <v>4500</v>
      </c>
      <c r="D17" s="28">
        <f t="shared" ca="1" si="1"/>
        <v>3000</v>
      </c>
      <c r="F17" s="32" t="s">
        <v>32</v>
      </c>
      <c r="G17" s="3">
        <v>130</v>
      </c>
      <c r="H17" s="3" cm="1">
        <f t="array" aca="1" ref="H17" ca="1">-_xlfn.XLOOKUP(F17,INDIRECT("'Finanse 8.12.xlsx'!expenses_"&amp;$A$2&amp;"[Category]"),INDIRECT("'Finanse 8.12.xlsx'!expenses_"&amp;$A$2&amp;"[Total]"),0,0,1)</f>
        <v>100</v>
      </c>
      <c r="I17" s="33">
        <f t="shared" ca="1" si="2"/>
        <v>30</v>
      </c>
      <c r="K17" s="40" t="s">
        <v>22</v>
      </c>
      <c r="L17" s="14">
        <f ca="1">DATE(2025,$A$2,28)</f>
        <v>45685</v>
      </c>
      <c r="M17" s="8">
        <v>35</v>
      </c>
      <c r="N17" s="41"/>
      <c r="P17" s="49" t="s">
        <v>37</v>
      </c>
      <c r="Q17" s="15">
        <f ca="1">DATE(2025,$A$2,12)</f>
        <v>45669</v>
      </c>
      <c r="R17" s="5">
        <v>42.69</v>
      </c>
      <c r="S17" s="50"/>
      <c r="U17" s="58"/>
      <c r="V17" s="9"/>
      <c r="W17" s="59"/>
      <c r="X17" s="9">
        <f>Savings_1[[#This Row],[Planned]]-Savings_1[[#This Row],[Actual]]</f>
        <v>0</v>
      </c>
    </row>
    <row r="18" spans="1:24" x14ac:dyDescent="0.4">
      <c r="A18" s="27" t="s">
        <v>15</v>
      </c>
      <c r="B18" s="7">
        <v>800</v>
      </c>
      <c r="C18" s="7" cm="1">
        <f t="array" aca="1" ref="C18" ca="1">_xlfn.XLOOKUP(A18,INDIRECT("'Finanse 8.12.xlsx'!incomes_"&amp;$A$2&amp;"[Category]"),INDIRECT("'Finanse 8.12.xlsx'!incomes_"&amp;$A$2&amp;"[Total]"),0,0,1)</f>
        <v>0</v>
      </c>
      <c r="D18" s="28">
        <f t="shared" ca="1" si="1"/>
        <v>-800</v>
      </c>
      <c r="F18" s="32" t="s">
        <v>33</v>
      </c>
      <c r="G18" s="3">
        <v>130</v>
      </c>
      <c r="H18" s="3" cm="1">
        <f t="array" aca="1" ref="H18" ca="1">-_xlfn.XLOOKUP(F18,INDIRECT("'Finanse 8.12.xlsx'!expenses_"&amp;$A$2&amp;"[Category]"),INDIRECT("'Finanse 8.12.xlsx'!expenses_"&amp;$A$2&amp;"[Total]"),0,0,1)</f>
        <v>150</v>
      </c>
      <c r="I18" s="33">
        <f t="shared" ca="1" si="2"/>
        <v>-20</v>
      </c>
      <c r="K18" s="40" t="s">
        <v>24</v>
      </c>
      <c r="L18" s="14">
        <f ca="1">DATE(2025,$A$2,20)</f>
        <v>45677</v>
      </c>
      <c r="M18" s="8">
        <v>60</v>
      </c>
      <c r="N18" s="41"/>
      <c r="P18" s="49"/>
      <c r="Q18" s="4"/>
      <c r="R18" s="5"/>
      <c r="S18" s="50"/>
      <c r="U18" s="58"/>
      <c r="V18" s="9"/>
      <c r="W18" s="59"/>
      <c r="X18" s="9">
        <f>Savings_1[[#This Row],[Planned]]-Savings_1[[#This Row],[Actual]]</f>
        <v>0</v>
      </c>
    </row>
    <row r="19" spans="1:24" x14ac:dyDescent="0.4">
      <c r="A19" s="27"/>
      <c r="B19" s="7"/>
      <c r="C19" s="7"/>
      <c r="D19" s="28"/>
      <c r="E19" s="6"/>
      <c r="F19" s="32" t="s">
        <v>42</v>
      </c>
      <c r="G19" s="3">
        <v>200</v>
      </c>
      <c r="H19" s="3" cm="1">
        <f t="array" aca="1" ref="H19" ca="1">-_xlfn.XLOOKUP(F19,INDIRECT("'Finanse 8.12.xlsx'!expenses_"&amp;$A$2&amp;"[Category]"),INDIRECT("'Finanse 8.12.xlsx'!expenses_"&amp;$A$2&amp;"[Total]"),0,0,1)</f>
        <v>500</v>
      </c>
      <c r="I19" s="33">
        <f t="shared" ca="1" si="2"/>
        <v>-300</v>
      </c>
      <c r="K19" s="40"/>
      <c r="L19" s="2"/>
      <c r="M19" s="8"/>
      <c r="N19" s="41"/>
      <c r="P19" s="49"/>
      <c r="Q19" s="4"/>
      <c r="R19" s="5"/>
      <c r="S19" s="50"/>
      <c r="U19" s="58"/>
      <c r="V19" s="9"/>
      <c r="W19" s="59"/>
      <c r="X19" s="9">
        <f>Savings_1[[#This Row],[Planned]]-Savings_1[[#This Row],[Actual]]</f>
        <v>0</v>
      </c>
    </row>
    <row r="20" spans="1:24" x14ac:dyDescent="0.4">
      <c r="A20" s="27"/>
      <c r="B20" s="7"/>
      <c r="C20" s="7"/>
      <c r="D20" s="28"/>
      <c r="F20" s="32" t="s">
        <v>34</v>
      </c>
      <c r="G20" s="3">
        <v>200</v>
      </c>
      <c r="H20" s="3" cm="1">
        <f t="array" aca="1" ref="H20" ca="1">-_xlfn.XLOOKUP(F20,INDIRECT("'Finanse 8.12.xlsx'!expenses_"&amp;$A$2&amp;"[Category]"),INDIRECT("'Finanse 8.12.xlsx'!expenses_"&amp;$A$2&amp;"[Total]"),0,0,1)</f>
        <v>100</v>
      </c>
      <c r="I20" s="33">
        <f t="shared" ca="1" si="2"/>
        <v>100</v>
      </c>
      <c r="K20" s="40"/>
      <c r="L20" s="2"/>
      <c r="M20" s="8"/>
      <c r="N20" s="41"/>
      <c r="P20" s="49"/>
      <c r="Q20" s="4"/>
      <c r="R20" s="5"/>
      <c r="S20" s="50"/>
      <c r="U20" s="58"/>
      <c r="V20" s="9"/>
      <c r="W20" s="59"/>
      <c r="X20" s="9">
        <f>Savings_1[[#This Row],[Planned]]-Savings_1[[#This Row],[Actual]]</f>
        <v>0</v>
      </c>
    </row>
    <row r="21" spans="1:24" x14ac:dyDescent="0.4">
      <c r="A21" s="27"/>
      <c r="B21" s="7"/>
      <c r="C21" s="7"/>
      <c r="D21" s="28"/>
      <c r="F21" s="32" t="s">
        <v>35</v>
      </c>
      <c r="G21" s="3">
        <v>150</v>
      </c>
      <c r="H21" s="3" cm="1">
        <f t="array" aca="1" ref="H21" ca="1">-_xlfn.XLOOKUP(F21,INDIRECT("'Finanse 8.12.xlsx'!expenses_"&amp;$A$2&amp;"[Category]"),INDIRECT("'Finanse 8.12.xlsx'!expenses_"&amp;$A$2&amp;"[Total]"),0,0,1)</f>
        <v>80</v>
      </c>
      <c r="I21" s="33">
        <f t="shared" ca="1" si="2"/>
        <v>70</v>
      </c>
      <c r="K21" s="40"/>
      <c r="L21" s="2"/>
      <c r="M21" s="8"/>
      <c r="N21" s="41"/>
      <c r="P21" s="49"/>
      <c r="Q21" s="4"/>
      <c r="R21" s="5"/>
      <c r="S21" s="50"/>
      <c r="U21" s="58"/>
      <c r="V21" s="9"/>
      <c r="W21" s="59"/>
      <c r="X21" s="9">
        <f>Savings_1[[#This Row],[Planned]]-Savings_1[[#This Row],[Actual]]</f>
        <v>0</v>
      </c>
    </row>
    <row r="22" spans="1:24" x14ac:dyDescent="0.4">
      <c r="A22" s="27"/>
      <c r="B22" s="7"/>
      <c r="C22" s="7"/>
      <c r="D22" s="28"/>
      <c r="F22" s="32"/>
      <c r="G22" s="3"/>
      <c r="H22" s="3"/>
      <c r="I22" s="33"/>
      <c r="K22" s="40"/>
      <c r="L22" s="2"/>
      <c r="M22" s="8"/>
      <c r="N22" s="41"/>
      <c r="P22" s="49"/>
      <c r="Q22" s="4"/>
      <c r="R22" s="5"/>
      <c r="S22" s="50"/>
      <c r="U22" s="58"/>
      <c r="V22" s="9"/>
      <c r="W22" s="59"/>
      <c r="X22" s="9">
        <f>Savings_1[[#This Row],[Planned]]-Savings_1[[#This Row],[Actual]]</f>
        <v>0</v>
      </c>
    </row>
    <row r="23" spans="1:24" x14ac:dyDescent="0.4">
      <c r="A23" s="27"/>
      <c r="B23" s="7"/>
      <c r="C23" s="7"/>
      <c r="D23" s="28"/>
      <c r="F23" s="32"/>
      <c r="G23" s="3"/>
      <c r="H23" s="3"/>
      <c r="I23" s="33"/>
      <c r="K23" s="40"/>
      <c r="L23" s="2"/>
      <c r="M23" s="8"/>
      <c r="N23" s="41"/>
      <c r="P23" s="49"/>
      <c r="Q23" s="4"/>
      <c r="R23" s="5"/>
      <c r="S23" s="50"/>
      <c r="U23" s="58"/>
      <c r="V23" s="9"/>
      <c r="W23" s="59"/>
      <c r="X23" s="9">
        <f>Savings_1[[#This Row],[Planned]]-Savings_1[[#This Row],[Actual]]</f>
        <v>0</v>
      </c>
    </row>
    <row r="24" spans="1:24" x14ac:dyDescent="0.4">
      <c r="A24" s="27"/>
      <c r="B24" s="7"/>
      <c r="C24" s="7"/>
      <c r="D24" s="28"/>
      <c r="F24" s="32"/>
      <c r="G24" s="3"/>
      <c r="H24" s="3"/>
      <c r="I24" s="33"/>
      <c r="K24" s="40"/>
      <c r="L24" s="2"/>
      <c r="M24" s="8"/>
      <c r="N24" s="41"/>
      <c r="P24" s="49"/>
      <c r="Q24" s="4"/>
      <c r="R24" s="5"/>
      <c r="S24" s="50"/>
      <c r="U24" s="58"/>
      <c r="V24" s="9"/>
      <c r="W24" s="59"/>
      <c r="X24" s="9">
        <f>Savings_1[[#This Row],[Planned]]-Savings_1[[#This Row],[Actual]]</f>
        <v>0</v>
      </c>
    </row>
    <row r="25" spans="1:24" x14ac:dyDescent="0.4">
      <c r="A25" s="27"/>
      <c r="B25" s="7"/>
      <c r="C25" s="7"/>
      <c r="D25" s="28"/>
      <c r="F25" s="32"/>
      <c r="G25" s="3"/>
      <c r="H25" s="3"/>
      <c r="I25" s="33"/>
      <c r="K25" s="40"/>
      <c r="L25" s="2"/>
      <c r="M25" s="8"/>
      <c r="N25" s="41"/>
      <c r="P25" s="49"/>
      <c r="Q25" s="4"/>
      <c r="R25" s="5"/>
      <c r="S25" s="50"/>
      <c r="U25" s="58"/>
      <c r="V25" s="9"/>
      <c r="W25" s="59"/>
      <c r="X25" s="9">
        <f>Savings_1[[#This Row],[Planned]]-Savings_1[[#This Row],[Actual]]</f>
        <v>0</v>
      </c>
    </row>
    <row r="26" spans="1:24" x14ac:dyDescent="0.4">
      <c r="A26" s="29"/>
      <c r="B26" s="30"/>
      <c r="C26" s="30"/>
      <c r="D26" s="31"/>
      <c r="F26" s="37"/>
      <c r="G26" s="38"/>
      <c r="H26" s="38"/>
      <c r="I26" s="39"/>
      <c r="K26" s="45"/>
      <c r="L26" s="46"/>
      <c r="M26" s="47"/>
      <c r="N26" s="48"/>
      <c r="P26" s="54"/>
      <c r="Q26" s="55"/>
      <c r="R26" s="56"/>
      <c r="S26" s="57"/>
      <c r="U26" s="63"/>
      <c r="V26" s="64"/>
      <c r="W26" s="65"/>
      <c r="X26" s="9">
        <f>Savings_1[[#This Row],[Planned]]-Savings_1[[#This Row],[Actual]]</f>
        <v>0</v>
      </c>
    </row>
    <row r="27" spans="1:24" ht="22.5" x14ac:dyDescent="0.45">
      <c r="A27" s="73" t="s">
        <v>45</v>
      </c>
      <c r="B27" s="74">
        <f>SUM(B13:B26)</f>
        <v>5700</v>
      </c>
      <c r="C27" s="74">
        <f ca="1">SUM(Income_1[Actual])</f>
        <v>5655.5</v>
      </c>
      <c r="D27" s="75">
        <f ca="1">SUBTOTAL(109,Income_1[Left])</f>
        <v>-44.5</v>
      </c>
      <c r="F27" s="70" t="s">
        <v>45</v>
      </c>
      <c r="G27" s="71">
        <f>SUM(G13:G26)</f>
        <v>3795</v>
      </c>
      <c r="H27" s="71">
        <f ca="1">SUM(H13:H26)</f>
        <v>4810</v>
      </c>
      <c r="I27" s="72">
        <f ca="1">SUBTOTAL(109,Expenses_1[Left])</f>
        <v>-1015</v>
      </c>
      <c r="K27" s="76" t="s">
        <v>45</v>
      </c>
      <c r="L27" s="77"/>
      <c r="M27" s="78">
        <f>SUM(M13:M26)</f>
        <v>1735</v>
      </c>
      <c r="N27" s="79">
        <f>SUBTOTAL(103,Bills_1[Actual])</f>
        <v>0</v>
      </c>
      <c r="P27" s="80" t="s">
        <v>45</v>
      </c>
      <c r="Q27" s="81"/>
      <c r="R27" s="82">
        <f>SUM(R13:R26)</f>
        <v>211.67000000000002</v>
      </c>
      <c r="S27" s="83">
        <f>SUBTOTAL(103,Subscriptions_1[Actual])</f>
        <v>0</v>
      </c>
      <c r="U27" s="84" t="s">
        <v>45</v>
      </c>
      <c r="V27" s="85">
        <f>SUM(V13:V26)</f>
        <v>1905</v>
      </c>
      <c r="W27" s="86">
        <f>SUBTOTAL(109,Savings_1[Actual])</f>
        <v>0</v>
      </c>
      <c r="X27" s="10">
        <f>SUM(Savings_1[Left])</f>
        <v>1905</v>
      </c>
    </row>
  </sheetData>
  <mergeCells count="7">
    <mergeCell ref="P11:S11"/>
    <mergeCell ref="F11:I11"/>
    <mergeCell ref="A1:D1"/>
    <mergeCell ref="A2:D2"/>
    <mergeCell ref="A11:D11"/>
    <mergeCell ref="K11:N11"/>
    <mergeCell ref="U11:X11"/>
  </mergeCells>
  <pageMargins left="0.7" right="0.7" top="0.75" bottom="0.75" header="0.3" footer="0.3"/>
  <drawing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Maja Abuhasna</dc:creator>
  <cp:keywords/>
  <dc:description/>
  <cp:lastModifiedBy>Maja Abuhasna</cp:lastModifiedBy>
  <cp:revision/>
  <dcterms:created xsi:type="dcterms:W3CDTF">2025-10-31T12:46:44Z</dcterms:created>
  <dcterms:modified xsi:type="dcterms:W3CDTF">2025-12-19T13:08:42Z</dcterms:modified>
  <cp:category/>
  <cp:contentStatus/>
</cp:coreProperties>
</file>